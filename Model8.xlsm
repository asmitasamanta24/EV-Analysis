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e\Desktop\"/>
    </mc:Choice>
  </mc:AlternateContent>
  <bookViews>
    <workbookView xWindow="-120" yWindow="-120" windowWidth="20730" windowHeight="11160" tabRatio="761"/>
  </bookViews>
  <sheets>
    <sheet name="Entry" sheetId="1" r:id="rId1"/>
    <sheet name="Dashboard" sheetId="2" r:id="rId2"/>
    <sheet name="EV Models " sheetId="6" r:id="rId3"/>
    <sheet name="Battery Swapping Vendors" sheetId="5" r:id="rId4"/>
    <sheet name="Battery Charging Vendors - AC" sheetId="8" r:id="rId5"/>
    <sheet name="Battery Charging Vendors - DC" sheetId="7" r:id="rId6"/>
  </sheets>
  <definedNames>
    <definedName name="_xlnm._FilterDatabase" localSheetId="4" hidden="1">'Battery Charging Vendors - AC'!$F$2:$J$2</definedName>
    <definedName name="_xlnm._FilterDatabase" localSheetId="5" hidden="1">'Battery Charging Vendors - DC'!$F$2:$J$2</definedName>
    <definedName name="_xlnm._FilterDatabase" localSheetId="3" hidden="1">'Battery Swapping Vendors'!$B$2:$R$16</definedName>
    <definedName name="_xlnm.criteria">Entry!$BM$14:$BM$15</definedName>
    <definedName name="model">Entry!$BM$7:$BM$9</definedName>
    <definedName name="own">Entry!$BM$3:$BM$4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2" i="1" l="1"/>
  <c r="AR39" i="1" l="1"/>
  <c r="AM108" i="1"/>
  <c r="AL75" i="1"/>
  <c r="AS38" i="1" l="1"/>
  <c r="AS37" i="1" s="1"/>
  <c r="AT38" i="1"/>
  <c r="AT37" i="1" s="1"/>
  <c r="AR38" i="1"/>
  <c r="AR37" i="1" s="1"/>
  <c r="AS39" i="1" l="1"/>
  <c r="AT39" i="1"/>
  <c r="BF27" i="1" l="1"/>
  <c r="BE27" i="1" l="1"/>
  <c r="BD27" i="1"/>
  <c r="D46" i="1"/>
  <c r="E46" i="1"/>
  <c r="C46" i="1"/>
  <c r="BD26" i="1" s="1"/>
  <c r="D40" i="1"/>
  <c r="E40" i="1"/>
  <c r="C40" i="1"/>
  <c r="BN34" i="1"/>
  <c r="D82" i="1" s="1"/>
  <c r="BN35" i="1"/>
  <c r="E82" i="1" s="1"/>
  <c r="BN36" i="1"/>
  <c r="C85" i="1" s="1"/>
  <c r="BN33" i="1"/>
  <c r="C82" i="1" s="1"/>
  <c r="AU47" i="1"/>
  <c r="F56" i="1" s="1"/>
  <c r="AT47" i="1"/>
  <c r="F53" i="1" s="1"/>
  <c r="AU45" i="1"/>
  <c r="D56" i="1" s="1"/>
  <c r="AU46" i="1"/>
  <c r="E56" i="1" s="1"/>
  <c r="AT46" i="1"/>
  <c r="E53" i="1" s="1"/>
  <c r="AT45" i="1"/>
  <c r="D53" i="1" s="1"/>
  <c r="H64" i="6"/>
  <c r="H63" i="6"/>
  <c r="D54" i="1" l="1"/>
  <c r="D51" i="1"/>
  <c r="F82" i="1"/>
  <c r="AS49" i="1"/>
  <c r="AS50" i="1"/>
  <c r="AS48" i="1"/>
  <c r="AS42" i="1"/>
  <c r="AT42" i="1"/>
  <c r="AR42" i="1"/>
  <c r="AT40" i="1" l="1"/>
  <c r="AS40" i="1"/>
  <c r="AR40" i="1"/>
  <c r="AU42" i="1"/>
  <c r="AT41" i="1"/>
  <c r="AS41" i="1"/>
  <c r="AR41" i="1"/>
  <c r="D64" i="1"/>
  <c r="D61" i="1" s="1"/>
  <c r="E64" i="1"/>
  <c r="F64" i="1"/>
  <c r="K4" i="5"/>
  <c r="M7" i="5"/>
  <c r="M4" i="5"/>
  <c r="M9" i="5"/>
  <c r="M8" i="5"/>
  <c r="M6" i="5"/>
  <c r="M5" i="5"/>
  <c r="M3" i="5"/>
  <c r="L7" i="5"/>
  <c r="L4" i="5"/>
  <c r="L9" i="5"/>
  <c r="L8" i="5"/>
  <c r="L6" i="5"/>
  <c r="L5" i="5"/>
  <c r="L3" i="5"/>
  <c r="K3" i="5"/>
  <c r="L69" i="1"/>
  <c r="K69" i="1"/>
  <c r="L12" i="8"/>
  <c r="K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H7" i="8"/>
  <c r="H8" i="8" s="1"/>
  <c r="H9" i="8" s="1"/>
  <c r="H10" i="8" s="1"/>
  <c r="H11" i="8" s="1"/>
  <c r="L6" i="8"/>
  <c r="K6" i="8"/>
  <c r="J6" i="8"/>
  <c r="L5" i="8"/>
  <c r="K5" i="8"/>
  <c r="J5" i="8"/>
  <c r="L4" i="8"/>
  <c r="K4" i="8"/>
  <c r="J4" i="8"/>
  <c r="H4" i="8"/>
  <c r="H5" i="8" s="1"/>
  <c r="G4" i="8"/>
  <c r="G5" i="8" s="1"/>
  <c r="G6" i="8" s="1"/>
  <c r="G7" i="8" s="1"/>
  <c r="G8" i="8" s="1"/>
  <c r="G9" i="8" s="1"/>
  <c r="G10" i="8" s="1"/>
  <c r="G11" i="8" s="1"/>
  <c r="G12" i="8" s="1"/>
  <c r="S3" i="8"/>
  <c r="R3" i="8"/>
  <c r="M3" i="8" s="1"/>
  <c r="L3" i="8"/>
  <c r="K3" i="8"/>
  <c r="J3" i="8"/>
  <c r="B3" i="8"/>
  <c r="B4" i="8" s="1"/>
  <c r="D65" i="1" l="1"/>
  <c r="N9" i="8"/>
  <c r="N3" i="8"/>
  <c r="AS43" i="1"/>
  <c r="M22" i="1" s="1"/>
  <c r="AT43" i="1"/>
  <c r="O22" i="1" s="1"/>
  <c r="AR43" i="1"/>
  <c r="K22" i="1" s="1"/>
  <c r="AU40" i="1"/>
  <c r="AU41" i="1"/>
  <c r="V2" i="8"/>
  <c r="N8" i="8"/>
  <c r="N5" i="8"/>
  <c r="B5" i="8"/>
  <c r="N4" i="8"/>
  <c r="W2" i="8"/>
  <c r="M9" i="8" s="1"/>
  <c r="N13" i="8"/>
  <c r="J12" i="7"/>
  <c r="J10" i="7"/>
  <c r="J8" i="7"/>
  <c r="J6" i="7"/>
  <c r="J4" i="7"/>
  <c r="J11" i="7"/>
  <c r="J9" i="7"/>
  <c r="J7" i="7"/>
  <c r="J5" i="7"/>
  <c r="J3" i="7"/>
  <c r="G5" i="7"/>
  <c r="B3" i="7"/>
  <c r="K9" i="7"/>
  <c r="K3" i="7"/>
  <c r="L12" i="7"/>
  <c r="K12" i="7"/>
  <c r="L11" i="7"/>
  <c r="K11" i="7"/>
  <c r="L10" i="7"/>
  <c r="K10" i="7"/>
  <c r="L9" i="7"/>
  <c r="L8" i="7"/>
  <c r="K8" i="7"/>
  <c r="L7" i="7"/>
  <c r="K7" i="7"/>
  <c r="L6" i="7"/>
  <c r="K6" i="7"/>
  <c r="L5" i="7"/>
  <c r="K5" i="7"/>
  <c r="L4" i="7"/>
  <c r="K4" i="7"/>
  <c r="H5" i="7"/>
  <c r="S3" i="7"/>
  <c r="R3" i="7"/>
  <c r="L3" i="7"/>
  <c r="O9" i="8" l="1"/>
  <c r="AU43" i="1"/>
  <c r="B6" i="8"/>
  <c r="M6" i="8" s="1"/>
  <c r="O3" i="8"/>
  <c r="M11" i="8"/>
  <c r="M5" i="8"/>
  <c r="O5" i="8" s="1"/>
  <c r="M4" i="8"/>
  <c r="O4" i="8" s="1"/>
  <c r="M7" i="8"/>
  <c r="N4" i="7"/>
  <c r="N12" i="7"/>
  <c r="N3" i="7"/>
  <c r="N11" i="7"/>
  <c r="N6" i="7"/>
  <c r="W3" i="7"/>
  <c r="AG3" i="5"/>
  <c r="AF3" i="5"/>
  <c r="S50" i="1"/>
  <c r="S49" i="1"/>
  <c r="S48" i="1"/>
  <c r="S47" i="1"/>
  <c r="S46" i="1"/>
  <c r="S45" i="1"/>
  <c r="S44" i="1"/>
  <c r="S43" i="1"/>
  <c r="S42" i="1"/>
  <c r="S41" i="1"/>
  <c r="S40" i="1"/>
  <c r="O50" i="1"/>
  <c r="O49" i="1"/>
  <c r="O48" i="1"/>
  <c r="O47" i="1"/>
  <c r="O46" i="1"/>
  <c r="O45" i="1"/>
  <c r="O44" i="1"/>
  <c r="O43" i="1"/>
  <c r="O42" i="1"/>
  <c r="O41" i="1"/>
  <c r="O40" i="1"/>
  <c r="K50" i="1"/>
  <c r="K49" i="1"/>
  <c r="K48" i="1"/>
  <c r="K47" i="1"/>
  <c r="K46" i="1"/>
  <c r="K45" i="1"/>
  <c r="K44" i="1"/>
  <c r="K43" i="1"/>
  <c r="K42" i="1"/>
  <c r="K41" i="1"/>
  <c r="K40" i="1"/>
  <c r="I61" i="6"/>
  <c r="I60" i="6"/>
  <c r="I59" i="6"/>
  <c r="Z4" i="5" l="1"/>
  <c r="Z5" i="5"/>
  <c r="N3" i="5"/>
  <c r="Z3" i="5"/>
  <c r="Z6" i="5"/>
  <c r="Z7" i="5"/>
  <c r="Z8" i="5"/>
  <c r="Z9" i="5"/>
  <c r="N6" i="8"/>
  <c r="O6" i="8" s="1"/>
  <c r="B7" i="8"/>
  <c r="M10" i="7"/>
  <c r="M3" i="7"/>
  <c r="O3" i="7" s="1"/>
  <c r="M7" i="7"/>
  <c r="AM115" i="1"/>
  <c r="AM116" i="1"/>
  <c r="AM117" i="1"/>
  <c r="AM118" i="1"/>
  <c r="AM119" i="1"/>
  <c r="AM120" i="1"/>
  <c r="AM114" i="1"/>
  <c r="AM109" i="1"/>
  <c r="AM110" i="1"/>
  <c r="AM111" i="1"/>
  <c r="AM112" i="1"/>
  <c r="AM113" i="1"/>
  <c r="AM107" i="1"/>
  <c r="AM73" i="1"/>
  <c r="AO108" i="1"/>
  <c r="AO115" i="1" s="1"/>
  <c r="AO109" i="1"/>
  <c r="AO116" i="1" s="1"/>
  <c r="AO110" i="1"/>
  <c r="AO117" i="1" s="1"/>
  <c r="AO111" i="1"/>
  <c r="AO118" i="1" s="1"/>
  <c r="AO112" i="1"/>
  <c r="AO119" i="1" s="1"/>
  <c r="AO113" i="1"/>
  <c r="AO120" i="1" s="1"/>
  <c r="AO107" i="1"/>
  <c r="AO114" i="1" s="1"/>
  <c r="AO106" i="1"/>
  <c r="AN106" i="1"/>
  <c r="AN40" i="1"/>
  <c r="AM40" i="1"/>
  <c r="AN73" i="1"/>
  <c r="AL108" i="1"/>
  <c r="AL109" i="1"/>
  <c r="AL110" i="1"/>
  <c r="AL111" i="1"/>
  <c r="AL112" i="1"/>
  <c r="AL113" i="1"/>
  <c r="AL107" i="1"/>
  <c r="AN107" i="1"/>
  <c r="AN114" i="1" s="1"/>
  <c r="AN108" i="1"/>
  <c r="AN115" i="1" s="1"/>
  <c r="AN109" i="1"/>
  <c r="AN110" i="1"/>
  <c r="AN117" i="1" s="1"/>
  <c r="AN111" i="1"/>
  <c r="AN118" i="1" s="1"/>
  <c r="AN112" i="1"/>
  <c r="AN119" i="1" s="1"/>
  <c r="AN113" i="1"/>
  <c r="AN120" i="1" s="1"/>
  <c r="AN116" i="1"/>
  <c r="AL106" i="1"/>
  <c r="B8" i="8" l="1"/>
  <c r="N7" i="8"/>
  <c r="O7" i="8" s="1"/>
  <c r="AP113" i="1"/>
  <c r="AP111" i="1"/>
  <c r="AP110" i="1"/>
  <c r="AP109" i="1"/>
  <c r="AP108" i="1"/>
  <c r="AP112" i="1"/>
  <c r="AP107" i="1"/>
  <c r="AP106" i="1"/>
  <c r="E15" i="1"/>
  <c r="D20" i="1"/>
  <c r="C20" i="1"/>
  <c r="AL131" i="1" l="1"/>
  <c r="B9" i="8"/>
  <c r="M8" i="8"/>
  <c r="O8" i="8" s="1"/>
  <c r="BN37" i="1"/>
  <c r="D85" i="1" s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M69" i="1" s="1"/>
  <c r="E28" i="1"/>
  <c r="AM41" i="1"/>
  <c r="AM48" i="1" s="1"/>
  <c r="BN38" i="1" l="1"/>
  <c r="E85" i="1" s="1"/>
  <c r="F85" i="1" s="1"/>
  <c r="B10" i="8"/>
  <c r="AL76" i="1"/>
  <c r="AL77" i="1"/>
  <c r="AL78" i="1"/>
  <c r="AL79" i="1"/>
  <c r="AL80" i="1"/>
  <c r="AL74" i="1"/>
  <c r="B11" i="8" l="1"/>
  <c r="M10" i="8"/>
  <c r="N10" i="8"/>
  <c r="O10" i="8" l="1"/>
  <c r="B12" i="8"/>
  <c r="N11" i="8"/>
  <c r="O11" i="8" s="1"/>
  <c r="P24" i="1"/>
  <c r="P25" i="1"/>
  <c r="P22" i="1"/>
  <c r="AN75" i="1"/>
  <c r="AN76" i="1"/>
  <c r="AN83" i="1" s="1"/>
  <c r="AN77" i="1"/>
  <c r="AN84" i="1" s="1"/>
  <c r="AN78" i="1"/>
  <c r="AN85" i="1" s="1"/>
  <c r="AN79" i="1"/>
  <c r="AN86" i="1" s="1"/>
  <c r="AN80" i="1"/>
  <c r="AN87" i="1" s="1"/>
  <c r="AN74" i="1"/>
  <c r="AN81" i="1" s="1"/>
  <c r="AM80" i="1"/>
  <c r="AM87" i="1" s="1"/>
  <c r="AM79" i="1"/>
  <c r="AM86" i="1" s="1"/>
  <c r="AM78" i="1"/>
  <c r="AM85" i="1" s="1"/>
  <c r="AM77" i="1"/>
  <c r="AM76" i="1"/>
  <c r="AM83" i="1" s="1"/>
  <c r="AM75" i="1"/>
  <c r="AM82" i="1" s="1"/>
  <c r="AM74" i="1"/>
  <c r="AM81" i="1" s="1"/>
  <c r="AL73" i="1"/>
  <c r="AN42" i="1"/>
  <c r="AN49" i="1" s="1"/>
  <c r="AN43" i="1"/>
  <c r="AN50" i="1" s="1"/>
  <c r="AN44" i="1"/>
  <c r="AN51" i="1" s="1"/>
  <c r="AN45" i="1"/>
  <c r="AN52" i="1" s="1"/>
  <c r="AN46" i="1"/>
  <c r="AN53" i="1" s="1"/>
  <c r="AN47" i="1"/>
  <c r="AN54" i="1" s="1"/>
  <c r="AN41" i="1"/>
  <c r="AN48" i="1" s="1"/>
  <c r="B13" i="8" l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N12" i="8"/>
  <c r="M12" i="8"/>
  <c r="AM84" i="1"/>
  <c r="AO77" i="1"/>
  <c r="AO79" i="1"/>
  <c r="AO73" i="1"/>
  <c r="AO78" i="1"/>
  <c r="AO76" i="1"/>
  <c r="AO75" i="1"/>
  <c r="AO80" i="1"/>
  <c r="AO74" i="1"/>
  <c r="O12" i="8" l="1"/>
  <c r="P10" i="8" s="1"/>
  <c r="T14" i="8" s="1"/>
  <c r="AM47" i="1"/>
  <c r="AM46" i="1"/>
  <c r="AM45" i="1"/>
  <c r="AM44" i="1"/>
  <c r="AM43" i="1"/>
  <c r="AM42" i="1"/>
  <c r="AO41" i="1"/>
  <c r="AL40" i="1"/>
  <c r="P5" i="8" l="1"/>
  <c r="W9" i="8" s="1"/>
  <c r="Z14" i="8"/>
  <c r="S14" i="8"/>
  <c r="P7" i="8"/>
  <c r="AC11" i="8" s="1"/>
  <c r="V14" i="8"/>
  <c r="AA14" i="8"/>
  <c r="P8" i="8"/>
  <c r="T12" i="8" s="1"/>
  <c r="P6" i="8"/>
  <c r="AB10" i="8" s="1"/>
  <c r="AF14" i="8"/>
  <c r="AB14" i="8"/>
  <c r="AC14" i="8"/>
  <c r="P4" i="8"/>
  <c r="AB8" i="8" s="1"/>
  <c r="W14" i="8"/>
  <c r="Y14" i="8"/>
  <c r="P9" i="8"/>
  <c r="AA13" i="8" s="1"/>
  <c r="AE14" i="8"/>
  <c r="P11" i="8"/>
  <c r="AA15" i="8" s="1"/>
  <c r="X14" i="8"/>
  <c r="U14" i="8"/>
  <c r="P12" i="8"/>
  <c r="T16" i="8" s="1"/>
  <c r="P3" i="8"/>
  <c r="AO47" i="1"/>
  <c r="AM54" i="1"/>
  <c r="AL49" i="1"/>
  <c r="AL115" i="1" s="1"/>
  <c r="AP115" i="1" s="1"/>
  <c r="AL50" i="1"/>
  <c r="AL116" i="1" s="1"/>
  <c r="AP116" i="1" s="1"/>
  <c r="AL51" i="1"/>
  <c r="AL117" i="1" s="1"/>
  <c r="AP117" i="1" s="1"/>
  <c r="AL52" i="1"/>
  <c r="AL118" i="1" s="1"/>
  <c r="AP118" i="1" s="1"/>
  <c r="AL48" i="1"/>
  <c r="AL114" i="1" s="1"/>
  <c r="AP114" i="1" s="1"/>
  <c r="AL53" i="1"/>
  <c r="AL54" i="1"/>
  <c r="AO42" i="1"/>
  <c r="AM49" i="1"/>
  <c r="AO43" i="1"/>
  <c r="AM50" i="1"/>
  <c r="AO44" i="1"/>
  <c r="AM51" i="1"/>
  <c r="AO45" i="1"/>
  <c r="AM52" i="1"/>
  <c r="AO46" i="1"/>
  <c r="AM53" i="1"/>
  <c r="AO40" i="1"/>
  <c r="V11" i="8" l="1"/>
  <c r="Z11" i="8"/>
  <c r="AE11" i="8"/>
  <c r="U11" i="8"/>
  <c r="U13" i="8"/>
  <c r="AB11" i="8"/>
  <c r="Y13" i="8"/>
  <c r="AC12" i="8"/>
  <c r="AB12" i="8"/>
  <c r="AE12" i="8"/>
  <c r="Y12" i="8"/>
  <c r="X12" i="8"/>
  <c r="W11" i="8"/>
  <c r="Y11" i="8"/>
  <c r="T11" i="8"/>
  <c r="X11" i="8"/>
  <c r="AF11" i="8"/>
  <c r="S11" i="8"/>
  <c r="AA11" i="8"/>
  <c r="Y16" i="8"/>
  <c r="Z16" i="8"/>
  <c r="AC16" i="8"/>
  <c r="AE15" i="8"/>
  <c r="Z9" i="8"/>
  <c r="AE9" i="8"/>
  <c r="AC9" i="8"/>
  <c r="T9" i="8"/>
  <c r="X9" i="8"/>
  <c r="AF15" i="8"/>
  <c r="X15" i="8"/>
  <c r="S12" i="8"/>
  <c r="Z15" i="8"/>
  <c r="AE16" i="8"/>
  <c r="W13" i="8"/>
  <c r="U10" i="8"/>
  <c r="V15" i="8"/>
  <c r="AF12" i="8"/>
  <c r="W15" i="8"/>
  <c r="W16" i="8"/>
  <c r="W12" i="8"/>
  <c r="AC10" i="8"/>
  <c r="AB13" i="8"/>
  <c r="V16" i="8"/>
  <c r="AA10" i="8"/>
  <c r="X16" i="8"/>
  <c r="V10" i="8"/>
  <c r="AF10" i="8"/>
  <c r="Z10" i="8"/>
  <c r="AE10" i="8"/>
  <c r="W10" i="8"/>
  <c r="T10" i="8"/>
  <c r="X10" i="8"/>
  <c r="S10" i="8"/>
  <c r="Y10" i="8"/>
  <c r="AB16" i="8"/>
  <c r="S15" i="8"/>
  <c r="Y15" i="8"/>
  <c r="AF9" i="8"/>
  <c r="U15" i="8"/>
  <c r="AA9" i="8"/>
  <c r="S9" i="8"/>
  <c r="AB9" i="8"/>
  <c r="T15" i="8"/>
  <c r="AF16" i="8"/>
  <c r="S16" i="8"/>
  <c r="S13" i="8"/>
  <c r="T13" i="8"/>
  <c r="AE13" i="8"/>
  <c r="Z13" i="8"/>
  <c r="V13" i="8"/>
  <c r="X13" i="8"/>
  <c r="AF13" i="8"/>
  <c r="AC13" i="8"/>
  <c r="V12" i="8"/>
  <c r="U12" i="8"/>
  <c r="AA12" i="8"/>
  <c r="Z12" i="8"/>
  <c r="V9" i="8"/>
  <c r="Y9" i="8"/>
  <c r="AC15" i="8"/>
  <c r="U16" i="8"/>
  <c r="AA16" i="8"/>
  <c r="U9" i="8"/>
  <c r="AB15" i="8"/>
  <c r="AC8" i="8"/>
  <c r="W8" i="8"/>
  <c r="U8" i="8"/>
  <c r="AA8" i="8"/>
  <c r="X8" i="8"/>
  <c r="AE8" i="8"/>
  <c r="S8" i="8"/>
  <c r="Y8" i="8"/>
  <c r="AF8" i="8"/>
  <c r="T8" i="8"/>
  <c r="V8" i="8"/>
  <c r="Z8" i="8"/>
  <c r="AA7" i="8"/>
  <c r="U7" i="8"/>
  <c r="AC7" i="8"/>
  <c r="W7" i="8"/>
  <c r="X7" i="8"/>
  <c r="Y7" i="8"/>
  <c r="AB7" i="8"/>
  <c r="Z7" i="8"/>
  <c r="V7" i="8"/>
  <c r="T7" i="8"/>
  <c r="S7" i="8"/>
  <c r="AF7" i="8"/>
  <c r="AL82" i="1"/>
  <c r="AO82" i="1" s="1"/>
  <c r="AP82" i="1" s="1"/>
  <c r="AL84" i="1"/>
  <c r="AO84" i="1" s="1"/>
  <c r="AP84" i="1" s="1"/>
  <c r="AL83" i="1"/>
  <c r="AO83" i="1" s="1"/>
  <c r="AP83" i="1" s="1"/>
  <c r="AL86" i="1"/>
  <c r="AO86" i="1" s="1"/>
  <c r="AP86" i="1" s="1"/>
  <c r="AL119" i="1"/>
  <c r="AP119" i="1" s="1"/>
  <c r="AQ119" i="1" s="1"/>
  <c r="AL85" i="1"/>
  <c r="AO85" i="1" s="1"/>
  <c r="AP85" i="1" s="1"/>
  <c r="AL81" i="1"/>
  <c r="AO81" i="1" s="1"/>
  <c r="AP81" i="1" s="1"/>
  <c r="AL87" i="1"/>
  <c r="AO87" i="1" s="1"/>
  <c r="AP87" i="1" s="1"/>
  <c r="AL120" i="1"/>
  <c r="AP120" i="1" s="1"/>
  <c r="AQ120" i="1" s="1"/>
  <c r="AQ110" i="1"/>
  <c r="AQ116" i="1"/>
  <c r="AQ118" i="1"/>
  <c r="AQ115" i="1"/>
  <c r="AQ108" i="1"/>
  <c r="AQ117" i="1"/>
  <c r="AQ113" i="1"/>
  <c r="AQ107" i="1"/>
  <c r="AQ111" i="1"/>
  <c r="AQ112" i="1"/>
  <c r="AQ109" i="1"/>
  <c r="AQ114" i="1"/>
  <c r="AO48" i="1"/>
  <c r="AP48" i="1" s="1"/>
  <c r="AO54" i="1"/>
  <c r="AP54" i="1" s="1"/>
  <c r="AP79" i="1"/>
  <c r="AP76" i="1"/>
  <c r="AP80" i="1"/>
  <c r="AP74" i="1"/>
  <c r="AP77" i="1"/>
  <c r="AP78" i="1"/>
  <c r="AP75" i="1"/>
  <c r="AK101" i="1" s="1"/>
  <c r="AP42" i="1"/>
  <c r="AP45" i="1"/>
  <c r="AP41" i="1"/>
  <c r="AP47" i="1"/>
  <c r="AP46" i="1"/>
  <c r="AP44" i="1"/>
  <c r="AP43" i="1"/>
  <c r="AO53" i="1"/>
  <c r="AP53" i="1" s="1"/>
  <c r="AO49" i="1"/>
  <c r="AP49" i="1" s="1"/>
  <c r="AO52" i="1"/>
  <c r="AP52" i="1" s="1"/>
  <c r="AO50" i="1"/>
  <c r="AP50" i="1" s="1"/>
  <c r="AO51" i="1"/>
  <c r="AP51" i="1" s="1"/>
  <c r="AL101" i="1" l="1"/>
  <c r="AC2" i="8"/>
  <c r="AB2" i="8"/>
  <c r="AL68" i="1"/>
  <c r="AJ134" i="1"/>
  <c r="AK68" i="1"/>
  <c r="AK134" i="1"/>
  <c r="AL134" i="1"/>
  <c r="AJ68" i="1"/>
  <c r="AM131" i="1"/>
  <c r="AN131" i="1"/>
  <c r="AJ101" i="1"/>
  <c r="AN65" i="1"/>
  <c r="AL65" i="1"/>
  <c r="AN98" i="1"/>
  <c r="AM65" i="1"/>
  <c r="AM98" i="1"/>
  <c r="AL98" i="1"/>
  <c r="D50" i="1"/>
  <c r="E50" i="1"/>
  <c r="C50" i="1"/>
  <c r="F47" i="1"/>
  <c r="F48" i="1"/>
  <c r="F49" i="1"/>
  <c r="F46" i="1"/>
  <c r="D44" i="1"/>
  <c r="E44" i="1"/>
  <c r="C44" i="1"/>
  <c r="F41" i="1"/>
  <c r="F42" i="1"/>
  <c r="F43" i="1"/>
  <c r="F40" i="1"/>
  <c r="AD10" i="8" l="1"/>
  <c r="AD15" i="8"/>
  <c r="AD11" i="8"/>
  <c r="AD13" i="8"/>
  <c r="AD7" i="8"/>
  <c r="AD8" i="8"/>
  <c r="AD9" i="8"/>
  <c r="AD14" i="8"/>
  <c r="AD16" i="8"/>
  <c r="AD12" i="8"/>
  <c r="D84" i="1"/>
  <c r="E84" i="1"/>
  <c r="C84" i="1"/>
  <c r="F84" i="1"/>
  <c r="E81" i="1"/>
  <c r="D81" i="1"/>
  <c r="C81" i="1"/>
  <c r="F81" i="1"/>
  <c r="F44" i="1"/>
  <c r="F50" i="1"/>
  <c r="AE7" i="8" l="1"/>
  <c r="AQ7" i="8" s="1"/>
  <c r="S30" i="2"/>
  <c r="T30" i="2"/>
  <c r="R30" i="2"/>
  <c r="R29" i="2"/>
  <c r="S29" i="2"/>
  <c r="T29" i="2"/>
  <c r="S28" i="2"/>
  <c r="T28" i="2"/>
  <c r="R28" i="2"/>
  <c r="S27" i="2"/>
  <c r="T27" i="2"/>
  <c r="R27" i="2"/>
  <c r="S16" i="2"/>
  <c r="T16" i="2"/>
  <c r="R16" i="2"/>
  <c r="S14" i="2"/>
  <c r="T14" i="2"/>
  <c r="R14" i="2"/>
  <c r="S15" i="2"/>
  <c r="T15" i="2"/>
  <c r="R15" i="2"/>
  <c r="G30" i="2"/>
  <c r="H30" i="2"/>
  <c r="F30" i="2"/>
  <c r="G29" i="2"/>
  <c r="H29" i="2"/>
  <c r="F29" i="2"/>
  <c r="G28" i="2"/>
  <c r="H28" i="2"/>
  <c r="F28" i="2"/>
  <c r="G27" i="2"/>
  <c r="H27" i="2"/>
  <c r="F27" i="2"/>
  <c r="H14" i="2"/>
  <c r="H15" i="2"/>
  <c r="H16" i="2"/>
  <c r="G16" i="2"/>
  <c r="F16" i="2"/>
  <c r="G15" i="2"/>
  <c r="F15" i="2"/>
  <c r="G14" i="2"/>
  <c r="F14" i="2"/>
  <c r="AG7" i="8" l="1"/>
  <c r="AO7" i="8"/>
  <c r="K57" i="1" s="1"/>
  <c r="AH7" i="8"/>
  <c r="K53" i="1" s="1"/>
  <c r="AP7" i="8"/>
  <c r="AJ7" i="8"/>
  <c r="AK7" i="8"/>
  <c r="K54" i="1" s="1"/>
  <c r="AN7" i="8"/>
  <c r="K55" i="1" s="1"/>
  <c r="AL7" i="8"/>
  <c r="K56" i="1" s="1"/>
  <c r="AI7" i="8"/>
  <c r="AM7" i="8"/>
  <c r="K58" i="1" s="1"/>
  <c r="I14" i="2"/>
  <c r="I29" i="2"/>
  <c r="U15" i="2"/>
  <c r="H17" i="2"/>
  <c r="I16" i="2"/>
  <c r="U16" i="2"/>
  <c r="T17" i="2"/>
  <c r="I27" i="2"/>
  <c r="U29" i="2"/>
  <c r="U30" i="2"/>
  <c r="T31" i="2"/>
  <c r="S31" i="2"/>
  <c r="R31" i="2"/>
  <c r="U28" i="2"/>
  <c r="U27" i="2"/>
  <c r="R17" i="2"/>
  <c r="S17" i="2"/>
  <c r="U14" i="2"/>
  <c r="I30" i="2"/>
  <c r="H31" i="2"/>
  <c r="G31" i="2"/>
  <c r="F31" i="2"/>
  <c r="I28" i="2"/>
  <c r="F17" i="2"/>
  <c r="G17" i="2"/>
  <c r="I15" i="2"/>
  <c r="I31" i="2" l="1"/>
  <c r="U17" i="2"/>
  <c r="U31" i="2"/>
  <c r="I17" i="2"/>
  <c r="BE32" i="1"/>
  <c r="BF32" i="1"/>
  <c r="BD32" i="1"/>
  <c r="BE30" i="1"/>
  <c r="BF30" i="1"/>
  <c r="BD30" i="1"/>
  <c r="BE28" i="1"/>
  <c r="BF28" i="1"/>
  <c r="BD28" i="1"/>
  <c r="BE26" i="1"/>
  <c r="BF26" i="1"/>
  <c r="BE12" i="1"/>
  <c r="BF12" i="1"/>
  <c r="BD12" i="1"/>
  <c r="BE10" i="1"/>
  <c r="BF10" i="1"/>
  <c r="BD10" i="1"/>
  <c r="BE8" i="1"/>
  <c r="BF8" i="1"/>
  <c r="BD8" i="1"/>
  <c r="AY15" i="1"/>
  <c r="AY47" i="1" s="1"/>
  <c r="BC47" i="1" s="1"/>
  <c r="AZ15" i="1"/>
  <c r="AZ28" i="1" s="1"/>
  <c r="AX15" i="1"/>
  <c r="AX47" i="1" s="1"/>
  <c r="AY14" i="1"/>
  <c r="AY46" i="1" s="1"/>
  <c r="AZ14" i="1"/>
  <c r="AZ21" i="1" s="1"/>
  <c r="AX14" i="1"/>
  <c r="AY13" i="1"/>
  <c r="AY20" i="1" s="1"/>
  <c r="AZ13" i="1"/>
  <c r="AZ20" i="1" s="1"/>
  <c r="AX13" i="1"/>
  <c r="AX45" i="1" s="1"/>
  <c r="AY12" i="1"/>
  <c r="AY44" i="1" s="1"/>
  <c r="AZ12" i="1"/>
  <c r="AX12" i="1"/>
  <c r="AX44" i="1" s="1"/>
  <c r="BB44" i="1" s="1"/>
  <c r="N31" i="1"/>
  <c r="N33" i="1"/>
  <c r="N29" i="1"/>
  <c r="AS24" i="1"/>
  <c r="AR24" i="1"/>
  <c r="BC46" i="1" l="1"/>
  <c r="BG46" i="1" s="1"/>
  <c r="BB45" i="1"/>
  <c r="BF45" i="1" s="1"/>
  <c r="BC44" i="1"/>
  <c r="BG44" i="1" s="1"/>
  <c r="BB47" i="1"/>
  <c r="BF47" i="1" s="1"/>
  <c r="AZ27" i="1"/>
  <c r="AZ19" i="1"/>
  <c r="AZ32" i="1" s="1"/>
  <c r="BA14" i="1"/>
  <c r="BF22" i="1" s="1"/>
  <c r="BG26" i="1"/>
  <c r="BG28" i="1"/>
  <c r="BG30" i="1"/>
  <c r="BG32" i="1"/>
  <c r="BG10" i="1"/>
  <c r="AY21" i="1"/>
  <c r="AY55" i="1" s="1"/>
  <c r="AX46" i="1"/>
  <c r="AT24" i="1"/>
  <c r="AX27" i="1"/>
  <c r="AZ25" i="1"/>
  <c r="AY27" i="1"/>
  <c r="AY62" i="1" s="1"/>
  <c r="AY33" i="1"/>
  <c r="AY54" i="1"/>
  <c r="AZ33" i="1"/>
  <c r="AY19" i="1"/>
  <c r="AY53" i="1" s="1"/>
  <c r="AX26" i="1"/>
  <c r="AX61" i="1" s="1"/>
  <c r="AY28" i="1"/>
  <c r="AY63" i="1" s="1"/>
  <c r="BA13" i="1"/>
  <c r="BE22" i="1" s="1"/>
  <c r="AX20" i="1"/>
  <c r="AX33" i="1" s="1"/>
  <c r="AX21" i="1"/>
  <c r="AZ26" i="1"/>
  <c r="AZ34" i="1"/>
  <c r="AY25" i="1"/>
  <c r="AY60" i="1" s="1"/>
  <c r="AY26" i="1"/>
  <c r="BA12" i="1"/>
  <c r="BD22" i="1" s="1"/>
  <c r="AY45" i="1"/>
  <c r="BA15" i="1"/>
  <c r="BG22" i="1" s="1"/>
  <c r="AX25" i="1"/>
  <c r="AX60" i="1" s="1"/>
  <c r="AX19" i="1"/>
  <c r="AX53" i="1" s="1"/>
  <c r="AX28" i="1"/>
  <c r="AX63" i="1" s="1"/>
  <c r="BB63" i="1" s="1"/>
  <c r="BG12" i="1"/>
  <c r="BG8" i="1"/>
  <c r="BF44" i="1"/>
  <c r="BG47" i="1"/>
  <c r="BC62" i="1" l="1"/>
  <c r="BG62" i="1" s="1"/>
  <c r="BC55" i="1"/>
  <c r="BG55" i="1" s="1"/>
  <c r="BB46" i="1"/>
  <c r="BF46" i="1" s="1"/>
  <c r="BC54" i="1"/>
  <c r="BG54" i="1" s="1"/>
  <c r="BC45" i="1"/>
  <c r="BG45" i="1" s="1"/>
  <c r="BB61" i="1"/>
  <c r="BF61" i="1" s="1"/>
  <c r="BC60" i="1"/>
  <c r="BG60" i="1" s="1"/>
  <c r="BB60" i="1"/>
  <c r="BF60" i="1" s="1"/>
  <c r="BC63" i="1"/>
  <c r="BG63" i="1" s="1"/>
  <c r="BC53" i="1"/>
  <c r="BG53" i="1" s="1"/>
  <c r="BB53" i="1"/>
  <c r="BF53" i="1" s="1"/>
  <c r="AX62" i="1"/>
  <c r="BA27" i="1"/>
  <c r="AX32" i="1"/>
  <c r="AX68" i="1" s="1"/>
  <c r="BB68" i="1" s="1"/>
  <c r="AY34" i="1"/>
  <c r="AY70" i="1" s="1"/>
  <c r="BA25" i="1"/>
  <c r="BA26" i="1"/>
  <c r="AY69" i="1"/>
  <c r="AY32" i="1"/>
  <c r="AY68" i="1" s="1"/>
  <c r="BF63" i="1"/>
  <c r="BA19" i="1"/>
  <c r="BD4" i="1" s="1"/>
  <c r="AY61" i="1"/>
  <c r="BC61" i="1" s="1"/>
  <c r="BA33" i="1"/>
  <c r="BA28" i="1"/>
  <c r="AX54" i="1"/>
  <c r="BB54" i="1" s="1"/>
  <c r="BA20" i="1"/>
  <c r="BE4" i="1" s="1"/>
  <c r="AX55" i="1"/>
  <c r="BB55" i="1" s="1"/>
  <c r="BA21" i="1"/>
  <c r="BF4" i="1" s="1"/>
  <c r="AX34" i="1"/>
  <c r="AR16" i="1"/>
  <c r="AS16" i="1" s="1"/>
  <c r="AU18" i="1" s="1"/>
  <c r="AR12" i="1"/>
  <c r="AT6" i="1"/>
  <c r="AR13" i="1" s="1"/>
  <c r="AT13" i="1" s="1"/>
  <c r="AU13" i="1" s="1"/>
  <c r="AR11" i="1"/>
  <c r="AL9" i="1"/>
  <c r="AL8" i="1"/>
  <c r="BD23" i="1"/>
  <c r="BG23" i="1"/>
  <c r="E19" i="1"/>
  <c r="E18" i="1"/>
  <c r="E12" i="1"/>
  <c r="E20" i="1" l="1"/>
  <c r="BC70" i="1"/>
  <c r="BG70" i="1" s="1"/>
  <c r="BB62" i="1"/>
  <c r="BF62" i="1" s="1"/>
  <c r="BC69" i="1"/>
  <c r="BG69" i="1" s="1"/>
  <c r="BC68" i="1"/>
  <c r="BG68" i="1" s="1"/>
  <c r="BE5" i="1"/>
  <c r="BE23" i="1"/>
  <c r="BF5" i="1"/>
  <c r="BF23" i="1"/>
  <c r="BD5" i="1"/>
  <c r="AM10" i="1"/>
  <c r="AL12" i="1" s="1"/>
  <c r="AM13" i="1" s="1"/>
  <c r="BE21" i="1" s="1"/>
  <c r="BA32" i="1"/>
  <c r="BG4" i="1"/>
  <c r="AL3" i="1"/>
  <c r="AT16" i="1"/>
  <c r="AU16" i="1" s="1"/>
  <c r="AR25" i="1"/>
  <c r="AS25" i="1" s="1"/>
  <c r="K10" i="1" s="1"/>
  <c r="AZ45" i="1"/>
  <c r="BD45" i="1" s="1"/>
  <c r="AZ47" i="1"/>
  <c r="BD47" i="1" s="1"/>
  <c r="AZ54" i="1"/>
  <c r="AZ53" i="1"/>
  <c r="BD53" i="1" s="1"/>
  <c r="AZ55" i="1"/>
  <c r="AZ44" i="1"/>
  <c r="BD44" i="1" s="1"/>
  <c r="AZ46" i="1"/>
  <c r="BD46" i="1" s="1"/>
  <c r="AR26" i="1"/>
  <c r="AS26" i="1" s="1"/>
  <c r="K11" i="1" s="1"/>
  <c r="AT11" i="1"/>
  <c r="AU11" i="1" s="1"/>
  <c r="BA34" i="1"/>
  <c r="AX70" i="1"/>
  <c r="BB70" i="1" s="1"/>
  <c r="AX69" i="1"/>
  <c r="BB69" i="1" s="1"/>
  <c r="AL10" i="1"/>
  <c r="BG15" i="1" s="1"/>
  <c r="AT12" i="1"/>
  <c r="AU12" i="1" s="1"/>
  <c r="AR27" i="1"/>
  <c r="AS27" i="1" s="1"/>
  <c r="K12" i="1" s="1"/>
  <c r="BA55" i="1" l="1"/>
  <c r="BD55" i="1"/>
  <c r="BH55" i="1" s="1"/>
  <c r="BA54" i="1"/>
  <c r="BD54" i="1"/>
  <c r="BH54" i="1" s="1"/>
  <c r="BH23" i="1"/>
  <c r="BG5" i="1"/>
  <c r="AL6" i="1"/>
  <c r="AS31" i="1" s="1"/>
  <c r="AM6" i="1"/>
  <c r="AT31" i="1" s="1"/>
  <c r="AL5" i="1"/>
  <c r="AS30" i="1" s="1"/>
  <c r="AM5" i="1"/>
  <c r="AT30" i="1" s="1"/>
  <c r="BG35" i="1"/>
  <c r="AN13" i="1"/>
  <c r="AL13" i="1"/>
  <c r="BA45" i="1"/>
  <c r="AZ61" i="1"/>
  <c r="BD61" i="1" s="1"/>
  <c r="AQ11" i="1"/>
  <c r="BA46" i="1"/>
  <c r="AZ62" i="1"/>
  <c r="BD62" i="1" s="1"/>
  <c r="AZ63" i="1"/>
  <c r="BD63" i="1" s="1"/>
  <c r="BA47" i="1"/>
  <c r="AZ70" i="1"/>
  <c r="BG61" i="1"/>
  <c r="BF55" i="1"/>
  <c r="AZ68" i="1"/>
  <c r="BD68" i="1" s="1"/>
  <c r="BA53" i="1"/>
  <c r="AZ60" i="1"/>
  <c r="BD60" i="1" s="1"/>
  <c r="BA44" i="1"/>
  <c r="BF68" i="1"/>
  <c r="BF54" i="1"/>
  <c r="AZ69" i="1"/>
  <c r="BE3" i="1"/>
  <c r="BD3" i="1" l="1"/>
  <c r="BD70" i="1"/>
  <c r="BH70" i="1" s="1"/>
  <c r="BD69" i="1"/>
  <c r="BH69" i="1" s="1"/>
  <c r="BF3" i="1"/>
  <c r="BF21" i="1"/>
  <c r="BH22" i="1"/>
  <c r="BE55" i="1"/>
  <c r="BI54" i="1"/>
  <c r="BI55" i="1"/>
  <c r="BE54" i="1"/>
  <c r="BA63" i="1"/>
  <c r="BF69" i="1"/>
  <c r="BA62" i="1"/>
  <c r="AR20" i="1"/>
  <c r="AR21" i="1"/>
  <c r="AR22" i="1"/>
  <c r="BA68" i="1"/>
  <c r="BH53" i="1"/>
  <c r="BI53" i="1" s="1"/>
  <c r="BE53" i="1"/>
  <c r="BH46" i="1"/>
  <c r="BI46" i="1" s="1"/>
  <c r="BE46" i="1"/>
  <c r="BA61" i="1"/>
  <c r="BH47" i="1"/>
  <c r="BI47" i="1" s="1"/>
  <c r="BE47" i="1"/>
  <c r="BA60" i="1"/>
  <c r="BA70" i="1"/>
  <c r="BH44" i="1"/>
  <c r="BI44" i="1" s="1"/>
  <c r="BE44" i="1"/>
  <c r="BF70" i="1"/>
  <c r="BH45" i="1"/>
  <c r="BI45" i="1" s="1"/>
  <c r="BE45" i="1"/>
  <c r="BA69" i="1"/>
  <c r="AN5" i="1" l="1"/>
  <c r="AU30" i="1" s="1"/>
  <c r="AN6" i="1"/>
  <c r="AU31" i="1" s="1"/>
  <c r="BG3" i="1"/>
  <c r="BH14" i="1" s="1"/>
  <c r="BG16" i="1" s="1"/>
  <c r="E72" i="1" s="1"/>
  <c r="BE70" i="1"/>
  <c r="BI70" i="1"/>
  <c r="BI69" i="1"/>
  <c r="BE69" i="1"/>
  <c r="BH68" i="1"/>
  <c r="BI68" i="1" s="1"/>
  <c r="BE68" i="1"/>
  <c r="BH63" i="1"/>
  <c r="BI63" i="1" s="1"/>
  <c r="BE63" i="1"/>
  <c r="BH61" i="1"/>
  <c r="BI61" i="1" s="1"/>
  <c r="BE61" i="1"/>
  <c r="AS22" i="1"/>
  <c r="AT22" i="1" s="1"/>
  <c r="K7" i="1" s="1"/>
  <c r="BH60" i="1"/>
  <c r="BI60" i="1" s="1"/>
  <c r="BE60" i="1"/>
  <c r="AS21" i="1"/>
  <c r="AT21" i="1" s="1"/>
  <c r="K6" i="1" s="1"/>
  <c r="AS20" i="1"/>
  <c r="AT20" i="1" s="1"/>
  <c r="K5" i="1" s="1"/>
  <c r="BH62" i="1"/>
  <c r="BI62" i="1" s="1"/>
  <c r="BE62" i="1"/>
  <c r="E16" i="1" l="1"/>
  <c r="AQ24" i="1"/>
  <c r="AP24" i="1" s="1"/>
  <c r="C13" i="1" s="1"/>
  <c r="E13" i="1"/>
  <c r="AQ25" i="1"/>
  <c r="AP25" i="1" s="1"/>
  <c r="C16" i="1" s="1"/>
  <c r="C76" i="1"/>
  <c r="D76" i="1" s="1"/>
  <c r="E76" i="1"/>
  <c r="F76" i="1" s="1"/>
  <c r="C72" i="1"/>
  <c r="D72" i="1" s="1"/>
  <c r="C79" i="1"/>
  <c r="D79" i="1" s="1"/>
  <c r="E79" i="1"/>
  <c r="F79" i="1" s="1"/>
  <c r="D13" i="1" l="1"/>
  <c r="D16" i="1"/>
  <c r="AL16" i="1"/>
  <c r="AS33" i="1" s="1"/>
  <c r="AL17" i="1"/>
  <c r="AL15" i="1"/>
  <c r="AS32" i="1" l="1"/>
  <c r="AS34" i="1" s="1"/>
  <c r="AM15" i="1"/>
  <c r="AT32" i="1" s="1"/>
  <c r="AM17" i="1"/>
  <c r="AM16" i="1"/>
  <c r="AT33" i="1" s="1"/>
  <c r="BG27" i="1"/>
  <c r="BG21" i="1" s="1"/>
  <c r="AT34" i="1" l="1"/>
  <c r="AO15" i="1" l="1"/>
  <c r="AO16" i="1"/>
  <c r="AQ19" i="1" l="1"/>
  <c r="O16" i="1"/>
  <c r="O23" i="1" s="1"/>
  <c r="AQ20" i="1"/>
  <c r="O17" i="1"/>
  <c r="AP19" i="1" l="1"/>
  <c r="K16" i="1" s="1"/>
  <c r="K23" i="1" s="1"/>
  <c r="M16" i="1"/>
  <c r="M23" i="1" s="1"/>
  <c r="AP20" i="1"/>
  <c r="K17" i="1" s="1"/>
  <c r="M17" i="1"/>
  <c r="AO17" i="1"/>
  <c r="AQ21" i="1" s="1"/>
  <c r="P23" i="1" l="1"/>
  <c r="AL20" i="1"/>
  <c r="AN20" i="1" s="1"/>
  <c r="P17" i="1"/>
  <c r="M18" i="1"/>
  <c r="AP21" i="1"/>
  <c r="K18" i="1" s="1"/>
  <c r="O18" i="1"/>
  <c r="P16" i="1"/>
  <c r="AL19" i="1"/>
  <c r="BD31" i="1" l="1"/>
  <c r="BD11" i="1"/>
  <c r="AM20" i="1"/>
  <c r="BE31" i="1" s="1"/>
  <c r="BF11" i="1"/>
  <c r="BF31" i="1"/>
  <c r="AL21" i="1"/>
  <c r="AN21" i="1" s="1"/>
  <c r="P18" i="1"/>
  <c r="BD21" i="1" s="1"/>
  <c r="BD29" i="1"/>
  <c r="BD9" i="1"/>
  <c r="AN19" i="1"/>
  <c r="AM19" i="1"/>
  <c r="AL4" i="1"/>
  <c r="AS35" i="1" s="1"/>
  <c r="AM4" i="1"/>
  <c r="AT35" i="1" s="1"/>
  <c r="BE11" i="1" l="1"/>
  <c r="BG11" i="1" s="1"/>
  <c r="BE17" i="1" s="1"/>
  <c r="BG31" i="1"/>
  <c r="AN4" i="1"/>
  <c r="AQ23" i="1" s="1"/>
  <c r="D29" i="1" s="1"/>
  <c r="AM21" i="1"/>
  <c r="BE13" i="1" s="1"/>
  <c r="BD13" i="1"/>
  <c r="BD33" i="1"/>
  <c r="BE29" i="1"/>
  <c r="BE9" i="1"/>
  <c r="BF9" i="1"/>
  <c r="BF29" i="1"/>
  <c r="AN24" i="1"/>
  <c r="AN25" i="1"/>
  <c r="BF13" i="1"/>
  <c r="BF33" i="1"/>
  <c r="BH11" i="1" l="1"/>
  <c r="BE37" i="1"/>
  <c r="BH31" i="1"/>
  <c r="BG29" i="1"/>
  <c r="BH29" i="1" s="1"/>
  <c r="AP23" i="1"/>
  <c r="C29" i="1" s="1"/>
  <c r="E29" i="1"/>
  <c r="BG9" i="1"/>
  <c r="BH9" i="1" s="1"/>
  <c r="BG13" i="1"/>
  <c r="BE18" i="1" s="1"/>
  <c r="AM24" i="1"/>
  <c r="BE33" i="1"/>
  <c r="BG33" i="1" s="1"/>
  <c r="BE36" i="1" l="1"/>
  <c r="BE16" i="1"/>
  <c r="BF16" i="1" s="1"/>
  <c r="BH13" i="1"/>
  <c r="BG14" i="1"/>
  <c r="BI16" i="1" s="1"/>
  <c r="BE38" i="1"/>
  <c r="BH33" i="1"/>
  <c r="BG34" i="1"/>
  <c r="BF36" i="1" l="1"/>
  <c r="BF14" i="1"/>
  <c r="BH27" i="1" l="1"/>
  <c r="BH21" i="1" l="1"/>
  <c r="BH34" i="1" l="1"/>
  <c r="BG36" i="1" s="1"/>
  <c r="BI21" i="1"/>
  <c r="B4" i="7"/>
  <c r="M4" i="7" l="1"/>
  <c r="O4" i="7" s="1"/>
  <c r="B5" i="7"/>
  <c r="N5" i="7" l="1"/>
  <c r="M5" i="7"/>
  <c r="B6" i="7"/>
  <c r="O5" i="7" l="1"/>
  <c r="M6" i="7"/>
  <c r="O6" i="7" s="1"/>
  <c r="B7" i="7"/>
  <c r="N7" i="7" l="1"/>
  <c r="O7" i="7" s="1"/>
  <c r="B8" i="7"/>
  <c r="N8" i="7" l="1"/>
  <c r="M8" i="7"/>
  <c r="B9" i="7"/>
  <c r="O8" i="7" l="1"/>
  <c r="N9" i="7"/>
  <c r="M9" i="7"/>
  <c r="B10" i="7"/>
  <c r="O9" i="7" l="1"/>
  <c r="N10" i="7"/>
  <c r="O10" i="7" s="1"/>
  <c r="B11" i="7"/>
  <c r="M11" i="7" l="1"/>
  <c r="B12" i="7"/>
  <c r="B13" i="7" l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M12" i="7"/>
  <c r="O12" i="7" s="1"/>
  <c r="O11" i="7"/>
  <c r="P12" i="7" l="1"/>
  <c r="P4" i="7"/>
  <c r="P9" i="7"/>
  <c r="P6" i="7"/>
  <c r="P10" i="7"/>
  <c r="P11" i="7"/>
  <c r="P7" i="7"/>
  <c r="P8" i="7"/>
  <c r="P3" i="7"/>
  <c r="S8" i="7" s="1"/>
  <c r="P5" i="7"/>
  <c r="AA15" i="7" l="1"/>
  <c r="AB15" i="7"/>
  <c r="Y15" i="7"/>
  <c r="X15" i="7"/>
  <c r="Z15" i="7"/>
  <c r="T15" i="7"/>
  <c r="V15" i="7"/>
  <c r="S15" i="7"/>
  <c r="U15" i="7"/>
  <c r="AC15" i="7"/>
  <c r="W15" i="7"/>
  <c r="T12" i="7"/>
  <c r="AB12" i="7"/>
  <c r="Y12" i="7"/>
  <c r="AC12" i="7"/>
  <c r="Z12" i="7"/>
  <c r="W12" i="7"/>
  <c r="U12" i="7"/>
  <c r="S12" i="7"/>
  <c r="V12" i="7"/>
  <c r="AA12" i="7"/>
  <c r="X12" i="7"/>
  <c r="U10" i="7"/>
  <c r="AB10" i="7"/>
  <c r="S10" i="7"/>
  <c r="W10" i="7"/>
  <c r="T10" i="7"/>
  <c r="AA10" i="7"/>
  <c r="V10" i="7"/>
  <c r="AA14" i="7"/>
  <c r="AC14" i="7"/>
  <c r="Y14" i="7"/>
  <c r="W14" i="7"/>
  <c r="U14" i="7"/>
  <c r="Z14" i="7"/>
  <c r="AB14" i="7"/>
  <c r="V14" i="7"/>
  <c r="X14" i="7"/>
  <c r="T14" i="7"/>
  <c r="S14" i="7"/>
  <c r="AA16" i="7"/>
  <c r="AB16" i="7"/>
  <c r="AC16" i="7"/>
  <c r="T16" i="7"/>
  <c r="V16" i="7"/>
  <c r="Y16" i="7"/>
  <c r="X16" i="7"/>
  <c r="U16" i="7"/>
  <c r="Z16" i="7"/>
  <c r="W16" i="7"/>
  <c r="S16" i="7"/>
  <c r="Y11" i="7"/>
  <c r="AC11" i="7"/>
  <c r="T11" i="7"/>
  <c r="X11" i="7"/>
  <c r="V11" i="7"/>
  <c r="W11" i="7"/>
  <c r="AA11" i="7"/>
  <c r="U11" i="7"/>
  <c r="S11" i="7"/>
  <c r="Z11" i="7"/>
  <c r="AB11" i="7"/>
  <c r="AB9" i="7"/>
  <c r="T9" i="7"/>
  <c r="U9" i="7"/>
  <c r="S9" i="7"/>
  <c r="W9" i="7"/>
  <c r="V9" i="7"/>
  <c r="AA9" i="7"/>
  <c r="U8" i="7"/>
  <c r="AB8" i="7"/>
  <c r="T8" i="7"/>
  <c r="V8" i="7"/>
  <c r="AA8" i="7"/>
  <c r="W8" i="7"/>
  <c r="AC8" i="7"/>
  <c r="T17" i="7"/>
  <c r="X17" i="7"/>
  <c r="Z17" i="7"/>
  <c r="AC17" i="7"/>
  <c r="S17" i="7"/>
  <c r="Y17" i="7"/>
  <c r="U17" i="7"/>
  <c r="W17" i="7"/>
  <c r="AA17" i="7"/>
  <c r="AB17" i="7"/>
  <c r="V17" i="7"/>
  <c r="S13" i="7"/>
  <c r="AB13" i="7"/>
  <c r="AC13" i="7"/>
  <c r="X13" i="7"/>
  <c r="AA13" i="7"/>
  <c r="T13" i="7"/>
  <c r="V13" i="7"/>
  <c r="W13" i="7"/>
  <c r="Y13" i="7"/>
  <c r="U13" i="7"/>
  <c r="Z13" i="7"/>
  <c r="AC3" i="7" l="1"/>
  <c r="Z9" i="7"/>
  <c r="X8" i="7" l="1"/>
  <c r="Z10" i="7"/>
  <c r="Y10" i="7" l="1"/>
  <c r="Z8" i="7" l="1"/>
  <c r="Y8" i="7" l="1"/>
  <c r="H6" i="7"/>
  <c r="H7" i="7" s="1"/>
  <c r="G6" i="7"/>
  <c r="H11" i="7"/>
  <c r="G7" i="7" l="1"/>
  <c r="G8" i="7" s="1"/>
  <c r="X9" i="7" s="1"/>
  <c r="H8" i="7"/>
  <c r="Y9" i="7" l="1"/>
  <c r="AC9" i="7"/>
  <c r="G9" i="7"/>
  <c r="X10" i="7" s="1"/>
  <c r="V3" i="7"/>
  <c r="G10" i="7"/>
  <c r="AB3" i="7" l="1"/>
  <c r="AD9" i="7" s="1"/>
  <c r="AC10" i="7"/>
  <c r="G11" i="7"/>
  <c r="G12" i="7" s="1"/>
  <c r="AD13" i="7" l="1"/>
  <c r="AD16" i="7"/>
  <c r="AD12" i="7"/>
  <c r="AD14" i="7"/>
  <c r="AD11" i="7"/>
  <c r="AD15" i="7"/>
  <c r="AD17" i="7"/>
  <c r="AD10" i="7"/>
  <c r="AD8" i="7"/>
  <c r="AE8" i="7" l="1"/>
  <c r="AN8" i="7" s="1"/>
  <c r="K63" i="1" s="1"/>
  <c r="D57" i="1" s="1"/>
  <c r="AE12" i="7"/>
  <c r="AE11" i="7"/>
  <c r="AE17" i="7"/>
  <c r="AE14" i="7"/>
  <c r="AE10" i="7"/>
  <c r="AE15" i="7"/>
  <c r="AE16" i="7"/>
  <c r="AE13" i="7"/>
  <c r="AE9" i="7"/>
  <c r="AL8" i="7" l="1"/>
  <c r="K64" i="1" s="1"/>
  <c r="AP8" i="7"/>
  <c r="AO8" i="7"/>
  <c r="K65" i="1" s="1"/>
  <c r="AG8" i="7"/>
  <c r="AK8" i="7"/>
  <c r="K62" i="1" s="1"/>
  <c r="AI8" i="7"/>
  <c r="AJ8" i="7"/>
  <c r="AH8" i="7"/>
  <c r="K61" i="1" s="1"/>
  <c r="AM8" i="7"/>
  <c r="K66" i="1" s="1"/>
  <c r="AQ8" i="7"/>
  <c r="D59" i="1" s="1"/>
  <c r="D58" i="1" l="1"/>
  <c r="D60" i="1" s="1"/>
  <c r="AH3" i="5" l="1"/>
  <c r="P3" i="5" s="1"/>
  <c r="AI3" i="5"/>
  <c r="F63" i="1"/>
  <c r="AJ3" i="5" l="1"/>
  <c r="E63" i="1"/>
  <c r="D63" i="1"/>
  <c r="AB9" i="5" l="1"/>
  <c r="AB8" i="5"/>
  <c r="AB3" i="5"/>
  <c r="AB4" i="5"/>
  <c r="AB5" i="5"/>
  <c r="AB6" i="5"/>
  <c r="AB7" i="5"/>
  <c r="T3" i="5" l="1"/>
  <c r="V3" i="5"/>
  <c r="B4" i="5" l="1"/>
  <c r="B5" i="5" l="1"/>
  <c r="V4" i="5"/>
  <c r="T4" i="5"/>
  <c r="N4" i="5"/>
  <c r="P4" i="5"/>
  <c r="N5" i="5" l="1"/>
  <c r="B6" i="5"/>
  <c r="P5" i="5"/>
  <c r="T5" i="5"/>
  <c r="V5" i="5"/>
  <c r="P6" i="5" l="1"/>
  <c r="V6" i="5"/>
  <c r="N6" i="5"/>
  <c r="B7" i="5"/>
  <c r="K5" i="5"/>
  <c r="K6" i="5" s="1"/>
  <c r="K7" i="5"/>
  <c r="K8" i="5" s="1"/>
  <c r="K9" i="5" s="1"/>
  <c r="AL2" i="5"/>
  <c r="T7" i="5" l="1"/>
  <c r="V7" i="5"/>
  <c r="P7" i="5"/>
  <c r="N7" i="5"/>
  <c r="B8" i="5"/>
  <c r="T6" i="5" l="1"/>
  <c r="P8" i="5"/>
  <c r="N8" i="5"/>
  <c r="B9" i="5"/>
  <c r="T8" i="5"/>
  <c r="V8" i="5"/>
  <c r="P9" i="5" l="1"/>
  <c r="N9" i="5"/>
  <c r="T9" i="5"/>
  <c r="V9" i="5"/>
  <c r="B10" i="5"/>
  <c r="B11" i="5" s="1"/>
  <c r="B12" i="5" s="1"/>
  <c r="B13" i="5" s="1"/>
  <c r="B14" i="5" s="1"/>
  <c r="B15" i="5" s="1"/>
  <c r="B16" i="5" s="1"/>
  <c r="J4" i="5"/>
  <c r="J5" i="5" l="1"/>
  <c r="J6" i="5" s="1"/>
  <c r="J7" i="5" s="1"/>
  <c r="J8" i="5" s="1"/>
  <c r="J9" i="5" s="1"/>
  <c r="AL3" i="5" l="1"/>
  <c r="AA9" i="5" l="1"/>
  <c r="AC9" i="5" s="1"/>
  <c r="AA3" i="5"/>
  <c r="AC3" i="5" s="1"/>
  <c r="AA4" i="5"/>
  <c r="AC4" i="5" s="1"/>
  <c r="AA5" i="5"/>
  <c r="AC5" i="5" s="1"/>
  <c r="AA6" i="5"/>
  <c r="AC6" i="5" s="1"/>
  <c r="AA8" i="5"/>
  <c r="AC8" i="5" s="1"/>
  <c r="AA7" i="5"/>
  <c r="AC7" i="5" s="1"/>
  <c r="U8" i="5"/>
  <c r="W8" i="5" s="1"/>
  <c r="O8" i="5"/>
  <c r="Q8" i="5" s="1"/>
  <c r="U9" i="5"/>
  <c r="W9" i="5" s="1"/>
  <c r="O9" i="5"/>
  <c r="Q9" i="5" s="1"/>
  <c r="O7" i="5"/>
  <c r="Q7" i="5" s="1"/>
  <c r="O3" i="5"/>
  <c r="Q3" i="5" s="1"/>
  <c r="O5" i="5"/>
  <c r="Q5" i="5" s="1"/>
  <c r="U7" i="5"/>
  <c r="W7" i="5" s="1"/>
  <c r="U3" i="5"/>
  <c r="W3" i="5" s="1"/>
  <c r="U4" i="5"/>
  <c r="W4" i="5" s="1"/>
  <c r="U5" i="5"/>
  <c r="W5" i="5" s="1"/>
  <c r="O4" i="5"/>
  <c r="Q4" i="5" s="1"/>
  <c r="U6" i="5"/>
  <c r="W6" i="5" s="1"/>
  <c r="O6" i="5"/>
  <c r="Q6" i="5" s="1"/>
  <c r="X8" i="5" l="1"/>
  <c r="X7" i="5"/>
  <c r="X3" i="5"/>
  <c r="X4" i="5"/>
  <c r="X6" i="5"/>
  <c r="X9" i="5"/>
  <c r="X5" i="5"/>
  <c r="R3" i="5"/>
  <c r="R7" i="5"/>
  <c r="R8" i="5"/>
  <c r="R6" i="5"/>
  <c r="R4" i="5"/>
  <c r="R9" i="5"/>
  <c r="R5" i="5"/>
  <c r="AD7" i="5"/>
  <c r="AD8" i="5"/>
  <c r="AD9" i="5"/>
  <c r="AD3" i="5"/>
  <c r="AD6" i="5"/>
  <c r="AD4" i="5"/>
  <c r="AD5" i="5"/>
  <c r="AH6" i="5" l="1"/>
  <c r="AL6" i="5"/>
  <c r="AM6" i="5"/>
  <c r="AQ6" i="5"/>
  <c r="AI6" i="5"/>
  <c r="AR6" i="5"/>
  <c r="AP6" i="5"/>
  <c r="AN6" i="5"/>
  <c r="AJ6" i="5"/>
  <c r="AK6" i="5"/>
  <c r="AO6" i="5"/>
  <c r="AG6" i="5"/>
  <c r="AL29" i="5"/>
  <c r="AP29" i="5"/>
  <c r="AG29" i="5"/>
  <c r="AO29" i="5"/>
  <c r="AR29" i="5"/>
  <c r="AK29" i="5"/>
  <c r="AQ29" i="5"/>
  <c r="AI29" i="5"/>
  <c r="AM29" i="5"/>
  <c r="AN29" i="5"/>
  <c r="AJ29" i="5"/>
  <c r="AH29" i="5"/>
  <c r="AQ18" i="5"/>
  <c r="AM18" i="5"/>
  <c r="AL18" i="5"/>
  <c r="AN18" i="5"/>
  <c r="AJ18" i="5"/>
  <c r="AR18" i="5"/>
  <c r="AG18" i="5"/>
  <c r="AO18" i="5"/>
  <c r="AK18" i="5"/>
  <c r="AH18" i="5"/>
  <c r="AI18" i="5"/>
  <c r="AP18" i="5"/>
  <c r="AI22" i="5"/>
  <c r="AM22" i="5"/>
  <c r="AQ22" i="5"/>
  <c r="AN22" i="5"/>
  <c r="AJ22" i="5"/>
  <c r="AL22" i="5"/>
  <c r="AR22" i="5"/>
  <c r="AG22" i="5"/>
  <c r="AK22" i="5"/>
  <c r="AO22" i="5"/>
  <c r="AH22" i="5"/>
  <c r="AP22" i="5"/>
  <c r="AG30" i="5"/>
  <c r="AO30" i="5"/>
  <c r="AK30" i="5"/>
  <c r="AH30" i="5"/>
  <c r="AL30" i="5"/>
  <c r="AM30" i="5"/>
  <c r="AQ30" i="5"/>
  <c r="AR30" i="5"/>
  <c r="AP30" i="5"/>
  <c r="AN30" i="5"/>
  <c r="AI30" i="5"/>
  <c r="AJ30" i="5"/>
  <c r="AR8" i="5"/>
  <c r="AG8" i="5"/>
  <c r="AK8" i="5"/>
  <c r="AL8" i="5"/>
  <c r="AO8" i="5"/>
  <c r="AP8" i="5"/>
  <c r="AM8" i="5"/>
  <c r="AI8" i="5"/>
  <c r="AN8" i="5"/>
  <c r="AJ8" i="5"/>
  <c r="AQ8" i="5"/>
  <c r="AH8" i="5"/>
  <c r="AI27" i="5"/>
  <c r="AN27" i="5"/>
  <c r="AQ27" i="5"/>
  <c r="AJ27" i="5"/>
  <c r="AH27" i="5"/>
  <c r="AP27" i="5"/>
  <c r="AO27" i="5"/>
  <c r="AR27" i="5"/>
  <c r="AK27" i="5"/>
  <c r="AL27" i="5"/>
  <c r="AM27" i="5"/>
  <c r="AG27" i="5"/>
  <c r="AL12" i="5"/>
  <c r="AK12" i="5"/>
  <c r="AH12" i="5"/>
  <c r="AP12" i="5"/>
  <c r="AG12" i="5"/>
  <c r="AI12" i="5"/>
  <c r="AM12" i="5"/>
  <c r="AQ12" i="5"/>
  <c r="AN12" i="5"/>
  <c r="AJ12" i="5"/>
  <c r="AO12" i="5"/>
  <c r="AR12" i="5"/>
  <c r="AR19" i="5"/>
  <c r="AO19" i="5"/>
  <c r="AP19" i="5"/>
  <c r="AK19" i="5"/>
  <c r="AL19" i="5"/>
  <c r="AH19" i="5"/>
  <c r="AJ19" i="5"/>
  <c r="AI19" i="5"/>
  <c r="AM19" i="5"/>
  <c r="AQ19" i="5"/>
  <c r="AN19" i="5"/>
  <c r="AG19" i="5"/>
  <c r="AP26" i="5"/>
  <c r="AK26" i="5"/>
  <c r="AJ26" i="5"/>
  <c r="AN26" i="5"/>
  <c r="AH26" i="5"/>
  <c r="AL26" i="5"/>
  <c r="AG26" i="5"/>
  <c r="AM26" i="5"/>
  <c r="AQ26" i="5"/>
  <c r="AO26" i="5"/>
  <c r="AR26" i="5"/>
  <c r="AI26" i="5"/>
  <c r="AI7" i="5"/>
  <c r="AL7" i="5"/>
  <c r="AM7" i="5"/>
  <c r="AJ7" i="5"/>
  <c r="AN7" i="5"/>
  <c r="AR7" i="5"/>
  <c r="AK7" i="5"/>
  <c r="AG7" i="5"/>
  <c r="AO7" i="5"/>
  <c r="AH7" i="5"/>
  <c r="AP7" i="5"/>
  <c r="AQ7" i="5"/>
  <c r="AM17" i="5"/>
  <c r="AI17" i="5"/>
  <c r="AN17" i="5"/>
  <c r="AQ17" i="5"/>
  <c r="AP17" i="5"/>
  <c r="AJ17" i="5"/>
  <c r="AG17" i="5"/>
  <c r="AR17" i="5"/>
  <c r="AO17" i="5"/>
  <c r="AL17" i="5"/>
  <c r="AH17" i="5"/>
  <c r="AK17" i="5"/>
  <c r="AO28" i="5"/>
  <c r="AK28" i="5"/>
  <c r="AH28" i="5"/>
  <c r="AP28" i="5"/>
  <c r="AJ28" i="5"/>
  <c r="AR28" i="5"/>
  <c r="AL28" i="5"/>
  <c r="AI28" i="5"/>
  <c r="AQ28" i="5"/>
  <c r="AM28" i="5"/>
  <c r="AN28" i="5"/>
  <c r="AG28" i="5"/>
  <c r="AQ9" i="5"/>
  <c r="AN9" i="5"/>
  <c r="AJ9" i="5"/>
  <c r="AG9" i="5"/>
  <c r="AR9" i="5"/>
  <c r="AM9" i="5"/>
  <c r="AK9" i="5"/>
  <c r="AO9" i="5"/>
  <c r="AL9" i="5"/>
  <c r="AH9" i="5"/>
  <c r="AP9" i="5"/>
  <c r="AI9" i="5"/>
  <c r="AN16" i="5"/>
  <c r="AJ16" i="5"/>
  <c r="AO16" i="5"/>
  <c r="AR16" i="5"/>
  <c r="AQ16" i="5"/>
  <c r="AI16" i="5"/>
  <c r="AH16" i="5"/>
  <c r="AK16" i="5"/>
  <c r="AP16" i="5"/>
  <c r="AG16" i="5"/>
  <c r="AL16" i="5"/>
  <c r="AM16" i="5"/>
  <c r="AP25" i="5"/>
  <c r="AL25" i="5"/>
  <c r="AI25" i="5"/>
  <c r="AQ25" i="5"/>
  <c r="AR25" i="5"/>
  <c r="AN25" i="5"/>
  <c r="AG25" i="5"/>
  <c r="AH25" i="5"/>
  <c r="AJ25" i="5"/>
  <c r="AK25" i="5"/>
  <c r="AO25" i="5"/>
  <c r="AM25" i="5"/>
  <c r="AK11" i="5"/>
  <c r="AH11" i="5"/>
  <c r="AL11" i="5"/>
  <c r="AP11" i="5"/>
  <c r="AM11" i="5"/>
  <c r="AI11" i="5"/>
  <c r="AO11" i="5"/>
  <c r="AQ11" i="5"/>
  <c r="AN11" i="5"/>
  <c r="AR11" i="5"/>
  <c r="AG11" i="5"/>
  <c r="AJ11" i="5"/>
  <c r="AO20" i="5"/>
  <c r="AK20" i="5"/>
  <c r="AH20" i="5"/>
  <c r="AP20" i="5"/>
  <c r="AI20" i="5"/>
  <c r="AQ20" i="5"/>
  <c r="AG20" i="5"/>
  <c r="AM20" i="5"/>
  <c r="AJ20" i="5"/>
  <c r="AL20" i="5"/>
  <c r="AN20" i="5"/>
  <c r="AR20" i="5"/>
  <c r="AG31" i="5"/>
  <c r="AL31" i="5"/>
  <c r="AI31" i="5"/>
  <c r="AH31" i="5"/>
  <c r="AK31" i="5"/>
  <c r="AQ31" i="5"/>
  <c r="AN31" i="5"/>
  <c r="AM31" i="5"/>
  <c r="AJ31" i="5"/>
  <c r="AR31" i="5"/>
  <c r="AO31" i="5"/>
  <c r="AP31" i="5"/>
  <c r="AM10" i="5"/>
  <c r="AQ10" i="5"/>
  <c r="AR10" i="5"/>
  <c r="AN10" i="5"/>
  <c r="AJ10" i="5"/>
  <c r="AG10" i="5"/>
  <c r="AO10" i="5"/>
  <c r="AK10" i="5"/>
  <c r="AH10" i="5"/>
  <c r="AI10" i="5"/>
  <c r="AL10" i="5"/>
  <c r="AP10" i="5"/>
  <c r="AR21" i="5"/>
  <c r="AH21" i="5"/>
  <c r="AK21" i="5"/>
  <c r="AL21" i="5"/>
  <c r="AM21" i="5"/>
  <c r="AN21" i="5"/>
  <c r="AO21" i="5"/>
  <c r="AI21" i="5"/>
  <c r="AP21" i="5"/>
  <c r="AQ21" i="5"/>
  <c r="AG21" i="5"/>
  <c r="AJ21" i="5"/>
  <c r="AW2" i="5" l="1"/>
  <c r="AP2" i="5"/>
  <c r="AV2" i="5"/>
  <c r="AT2" i="5"/>
  <c r="AQ2" i="5"/>
  <c r="AS2" i="5"/>
  <c r="AS21" i="5" l="1"/>
  <c r="AS30" i="5"/>
  <c r="AS7" i="5"/>
  <c r="AS10" i="5"/>
  <c r="AS11" i="5"/>
  <c r="AS17" i="5"/>
  <c r="AS16" i="5"/>
  <c r="AS20" i="5"/>
  <c r="AS8" i="5"/>
  <c r="AS29" i="5"/>
  <c r="AS18" i="5"/>
  <c r="AS27" i="5"/>
  <c r="AS6" i="5"/>
  <c r="AS12" i="5"/>
  <c r="AS9" i="5"/>
  <c r="AS31" i="5"/>
  <c r="AS26" i="5"/>
  <c r="AS19" i="5"/>
  <c r="AS28" i="5"/>
  <c r="AS25" i="5"/>
  <c r="AS22" i="5"/>
  <c r="AT17" i="5" l="1"/>
  <c r="AT11" i="5"/>
  <c r="AT6" i="5"/>
  <c r="BA6" i="5" s="1"/>
  <c r="K71" i="1" s="1"/>
  <c r="AT12" i="5"/>
  <c r="AT7" i="5"/>
  <c r="AT10" i="5"/>
  <c r="AT8" i="5"/>
  <c r="AT9" i="5"/>
  <c r="AT19" i="5"/>
  <c r="AT18" i="5"/>
  <c r="AT16" i="5"/>
  <c r="AT20" i="5"/>
  <c r="AT22" i="5"/>
  <c r="AT31" i="5"/>
  <c r="AT30" i="5"/>
  <c r="AT26" i="5"/>
  <c r="AT29" i="5"/>
  <c r="AT28" i="5"/>
  <c r="AT21" i="5"/>
  <c r="AT27" i="5"/>
  <c r="AT25" i="5"/>
  <c r="BD6" i="5" l="1"/>
  <c r="K74" i="1" s="1"/>
  <c r="AV6" i="5"/>
  <c r="BB6" i="5"/>
  <c r="K72" i="1" s="1"/>
  <c r="AX6" i="5"/>
  <c r="AZ6" i="5"/>
  <c r="BE6" i="5"/>
  <c r="K75" i="1" s="1"/>
  <c r="BF6" i="5"/>
  <c r="AW6" i="5"/>
  <c r="K70" i="1" s="1"/>
  <c r="BG6" i="5"/>
  <c r="BC6" i="5"/>
  <c r="K73" i="1" s="1"/>
  <c r="AY6" i="5"/>
  <c r="AY16" i="5"/>
  <c r="AX16" i="5"/>
  <c r="AW16" i="5"/>
  <c r="L70" i="1" s="1"/>
  <c r="AZ16" i="5"/>
  <c r="BF16" i="5"/>
  <c r="BA16" i="5"/>
  <c r="L71" i="1" s="1"/>
  <c r="AV16" i="5"/>
  <c r="BG16" i="5"/>
  <c r="BB16" i="5"/>
  <c r="L72" i="1" s="1"/>
  <c r="BC16" i="5"/>
  <c r="L73" i="1" s="1"/>
  <c r="BD16" i="5"/>
  <c r="L74" i="1" s="1"/>
  <c r="BE16" i="5"/>
  <c r="L75" i="1" s="1"/>
  <c r="AV25" i="5"/>
  <c r="AW25" i="5"/>
  <c r="M70" i="1" s="1"/>
  <c r="BC25" i="5"/>
  <c r="M73" i="1" s="1"/>
  <c r="BF25" i="5"/>
  <c r="BB25" i="5"/>
  <c r="M72" i="1" s="1"/>
  <c r="AX25" i="5"/>
  <c r="BA25" i="5"/>
  <c r="M71" i="1" s="1"/>
  <c r="BG25" i="5"/>
  <c r="AY25" i="5"/>
  <c r="BE25" i="5"/>
  <c r="M75" i="1" s="1"/>
  <c r="BD25" i="5"/>
  <c r="M74" i="1" s="1"/>
  <c r="AZ25" i="5"/>
  <c r="D66" i="1" l="1"/>
  <c r="D67" i="1"/>
  <c r="D68" i="1" l="1"/>
  <c r="C69" i="1" l="1"/>
  <c r="D73" i="1" s="1"/>
  <c r="C70" i="1" l="1"/>
  <c r="C73" i="1"/>
  <c r="E73" i="1"/>
</calcChain>
</file>

<file path=xl/sharedStrings.xml><?xml version="1.0" encoding="utf-8"?>
<sst xmlns="http://schemas.openxmlformats.org/spreadsheetml/2006/main" count="1534" uniqueCount="577">
  <si>
    <t xml:space="preserve">Name of  the Organisation </t>
  </si>
  <si>
    <t xml:space="preserve">Monthly Transportation Budget </t>
  </si>
  <si>
    <t>Avg. no. of Employees per shift</t>
  </si>
  <si>
    <t>Avg. Seat utilization per shift</t>
  </si>
  <si>
    <t>Avg. Fleet Mix per shift
(% of 4 seater cars : % of 7 seater cars:% 12 seaters )
=</t>
  </si>
  <si>
    <t>4 seaters</t>
  </si>
  <si>
    <t xml:space="preserve">7 seaters </t>
  </si>
  <si>
    <t xml:space="preserve">12 seaters </t>
  </si>
  <si>
    <t>No. of working days</t>
  </si>
  <si>
    <t xml:space="preserve">No. Working hours per day </t>
  </si>
  <si>
    <t>No. of shifts per day</t>
  </si>
  <si>
    <t>Relaxation time between shifts (mins)</t>
  </si>
  <si>
    <t>Buffer time before/after shifts (mins)</t>
  </si>
  <si>
    <t xml:space="preserve">Type of cars against trip distribution per shift </t>
  </si>
  <si>
    <t>% of 4 seaters</t>
  </si>
  <si>
    <t>% of 7 seater</t>
  </si>
  <si>
    <t xml:space="preserve">% of 12 seater </t>
  </si>
  <si>
    <t>Max. distance for a long trip (km)</t>
  </si>
  <si>
    <t>RESULTS</t>
  </si>
  <si>
    <t xml:space="preserve">Car type </t>
  </si>
  <si>
    <t xml:space="preserve">Short trip </t>
  </si>
  <si>
    <t xml:space="preserve">Medium trip </t>
  </si>
  <si>
    <t xml:space="preserve">Long trip </t>
  </si>
  <si>
    <t>Total</t>
  </si>
  <si>
    <t xml:space="preserve">Resultant no. of ev per day </t>
  </si>
  <si>
    <t xml:space="preserve">Resultant no. of 4 seater cars per day </t>
  </si>
  <si>
    <t xml:space="preserve">Resultant no. of 7 seater cars per day </t>
  </si>
  <si>
    <t xml:space="preserve">Resultant no. of 12 seater cars per day </t>
  </si>
  <si>
    <t xml:space="preserve">Total Fleet </t>
  </si>
  <si>
    <t>Number of trips per day</t>
  </si>
  <si>
    <t>Resultant trips done by Evs</t>
  </si>
  <si>
    <t xml:space="preserve"> Resultant trips done by 4 seater cars</t>
  </si>
  <si>
    <t>Resultant trips done by 7 seater cars</t>
  </si>
  <si>
    <t>Resultant trips done by 12 seater cars</t>
  </si>
  <si>
    <t>Total Trips</t>
  </si>
  <si>
    <t>Increase in cost after EV induction</t>
  </si>
  <si>
    <t>Pre EV induction</t>
  </si>
  <si>
    <t>Post EV induction</t>
  </si>
  <si>
    <t>Breakup of the monthly Transportation budget</t>
  </si>
  <si>
    <t xml:space="preserve">per month </t>
  </si>
  <si>
    <t>per year</t>
  </si>
  <si>
    <t>in trees</t>
  </si>
  <si>
    <t xml:space="preserve">in tonnes  </t>
  </si>
  <si>
    <t>Cumulative</t>
  </si>
  <si>
    <t xml:space="preserve">No. of 4 seater cars </t>
  </si>
  <si>
    <t xml:space="preserve">No. of 7 seater cars </t>
  </si>
  <si>
    <t xml:space="preserve">No. of 12 seater cars </t>
  </si>
  <si>
    <t>No. of EVs</t>
  </si>
  <si>
    <t>Short Trip ( up to 30 km )</t>
  </si>
  <si>
    <t>Medium Trip ( greater than 30km up till 50 km )</t>
  </si>
  <si>
    <t>Long Trip ( greater than 50 km )</t>
  </si>
  <si>
    <t>Shift-wise Breakup pre EV induction</t>
  </si>
  <si>
    <t>Shift-wise Breakup post EV induction</t>
  </si>
  <si>
    <t>short</t>
  </si>
  <si>
    <t>medium</t>
  </si>
  <si>
    <t>long</t>
  </si>
  <si>
    <t>MAX. DIST</t>
  </si>
  <si>
    <t>Avg speed(km/hr)</t>
  </si>
  <si>
    <t>mins</t>
  </si>
  <si>
    <t>time (mins)</t>
  </si>
  <si>
    <t>hr</t>
  </si>
  <si>
    <t>Total hours 
for breaks (hrs)</t>
  </si>
  <si>
    <t>Total hours for shifts</t>
  </si>
  <si>
    <t>Time for each 
shift (hrs + mins)</t>
  </si>
  <si>
    <t>Extra ic</t>
  </si>
  <si>
    <t>cost for cabs</t>
  </si>
  <si>
    <t xml:space="preserve">cost for cab running </t>
  </si>
  <si>
    <t xml:space="preserve">tech and manpower cost </t>
  </si>
  <si>
    <t xml:space="preserve">shift cost </t>
  </si>
  <si>
    <t xml:space="preserve">4- seater </t>
  </si>
  <si>
    <t>7-seater</t>
  </si>
  <si>
    <t>12-seater</t>
  </si>
  <si>
    <t>ST</t>
  </si>
  <si>
    <t>MT</t>
  </si>
  <si>
    <t>LT</t>
  </si>
  <si>
    <t>shifts</t>
  </si>
  <si>
    <t>Shift</t>
  </si>
  <si>
    <t xml:space="preserve"> Carbon Footprint (in g per km)</t>
  </si>
  <si>
    <t xml:space="preserve">Per 4 seater car </t>
  </si>
  <si>
    <t>Maruti 
Suzuki Dzire</t>
  </si>
  <si>
    <t>NISSAN Suny</t>
  </si>
  <si>
    <t>Average</t>
  </si>
  <si>
    <t>Per 7 seater car</t>
  </si>
  <si>
    <t>Mahindra 
Scorpio</t>
  </si>
  <si>
    <t>Toyota Innova</t>
  </si>
  <si>
    <t>Mahindra
 Bolero</t>
  </si>
  <si>
    <t xml:space="preserve">Per 12 seater car </t>
  </si>
  <si>
    <t>Tata Winger</t>
  </si>
  <si>
    <t>Ford Transit</t>
  </si>
  <si>
    <t>Chevrolet
 Express</t>
  </si>
  <si>
    <t>Per electric vehicle</t>
  </si>
  <si>
    <t>Hyundai 
Kona Electric</t>
  </si>
  <si>
    <t>Mahindra 
e-Verito</t>
  </si>
  <si>
    <t>Tata Tigor</t>
  </si>
  <si>
    <t xml:space="preserve">Toyota 
Etios </t>
  </si>
  <si>
    <t>Fleet Distribution per day post EV induction</t>
  </si>
  <si>
    <t xml:space="preserve">Resultant no. of 
4 seater cars per day </t>
  </si>
  <si>
    <t xml:space="preserve">Resultant no. of
 7 seater cars per day </t>
  </si>
  <si>
    <t xml:space="preserve">Resultant no. of 
12 seater cars per day </t>
  </si>
  <si>
    <t xml:space="preserve">Resultant no.
 of ev per day </t>
  </si>
  <si>
    <t xml:space="preserve"> Carbon footprint w.r.t fleet distribution (kg per km ) post EV induction</t>
  </si>
  <si>
    <t>Car type</t>
  </si>
  <si>
    <t xml:space="preserve">medium trip </t>
  </si>
  <si>
    <t>long trip</t>
  </si>
  <si>
    <t>4 seater cars</t>
  </si>
  <si>
    <t>7 seater cars</t>
  </si>
  <si>
    <t>12 seater cars</t>
  </si>
  <si>
    <t>Electric vehicles</t>
  </si>
  <si>
    <t>Maximum Distance post EV induction</t>
  </si>
  <si>
    <t>km per day</t>
  </si>
  <si>
    <t>km per month</t>
  </si>
  <si>
    <t>km per year</t>
  </si>
  <si>
    <t>Max. Carbon footprint w.r.t fleet distribution post EV induction</t>
  </si>
  <si>
    <t>kg per day</t>
  </si>
  <si>
    <t>kg per month</t>
  </si>
  <si>
    <t>kg per year</t>
  </si>
  <si>
    <t xml:space="preserve"> 4 seater cars</t>
  </si>
  <si>
    <t>Driver doing short trip</t>
  </si>
  <si>
    <t>Driver doing medium trip</t>
  </si>
  <si>
    <t>Driver doing long trip</t>
  </si>
  <si>
    <t>Return sequence for trips</t>
  </si>
  <si>
    <t>Cab doing short trip</t>
  </si>
  <si>
    <t>Cab doing medium trip</t>
  </si>
  <si>
    <t>Cab doing long trip</t>
  </si>
  <si>
    <t>Fleet Distribution per day preEV induction</t>
  </si>
  <si>
    <t xml:space="preserve"> Carbon footprint w.r.t fleet distribution (kg per km ) pre EV induction</t>
  </si>
  <si>
    <t>Maximum Distance pre EV induction</t>
  </si>
  <si>
    <t>Max. Carbon footprint w.r.t fleet distribution pre EV induction</t>
  </si>
  <si>
    <t>4 seater</t>
  </si>
  <si>
    <t>7 seater</t>
  </si>
  <si>
    <t>12 seater</t>
  </si>
  <si>
    <t>Cost</t>
  </si>
  <si>
    <t>total cabs</t>
  </si>
  <si>
    <t>total trips</t>
  </si>
  <si>
    <t>4 seater trips
 in a month</t>
  </si>
  <si>
    <t>4 seater trip cost in a month</t>
  </si>
  <si>
    <t>7 seater trip cost in a month</t>
  </si>
  <si>
    <t>12 seater trip cost in a month</t>
  </si>
  <si>
    <t>difference
 from original</t>
  </si>
  <si>
    <t>4 seater trips in a month</t>
  </si>
  <si>
    <t>7 seater trips in a month</t>
  </si>
  <si>
    <t>12 seater trips in a month</t>
  </si>
  <si>
    <t>Evs</t>
  </si>
  <si>
    <t>EV trip cost
 in a month</t>
  </si>
  <si>
    <t>EV trips in a month</t>
  </si>
  <si>
    <t>Cost of EV Charging</t>
  </si>
  <si>
    <t>Number of shifts per driver per day</t>
  </si>
  <si>
    <t>No. of Cars</t>
  </si>
  <si>
    <t>4-seaters</t>
  </si>
  <si>
    <t>7-seaters</t>
  </si>
  <si>
    <t>12-seaters</t>
  </si>
  <si>
    <t>Short trip 
(upto 30 km)</t>
  </si>
  <si>
    <t>Medium Trip 
(greater than 30 km and upto 50 km)</t>
  </si>
  <si>
    <t>Long Trip 
(greater than 50km)</t>
  </si>
  <si>
    <t xml:space="preserve">Electric Vehicles </t>
  </si>
  <si>
    <t>No. of Trips</t>
  </si>
  <si>
    <t>By 4-seaters</t>
  </si>
  <si>
    <t>By 7-seaters</t>
  </si>
  <si>
    <t>By 12-seaters</t>
  </si>
  <si>
    <t xml:space="preserve">By Electric Vehicles </t>
  </si>
  <si>
    <t>Cost of cabs</t>
  </si>
  <si>
    <t>ENTRIES</t>
  </si>
  <si>
    <t>Short Trip</t>
  </si>
  <si>
    <t>Medium Trip</t>
  </si>
  <si>
    <t>Long Trip</t>
  </si>
  <si>
    <t xml:space="preserve">Resultant Monthly Cost for transportation after EV induction </t>
  </si>
  <si>
    <t>Shift 10</t>
  </si>
  <si>
    <t xml:space="preserve">Shift </t>
  </si>
  <si>
    <t>Please enter</t>
  </si>
  <si>
    <t xml:space="preserve">Criteria for Car model </t>
  </si>
  <si>
    <t xml:space="preserve">SUV </t>
  </si>
  <si>
    <t>Sedan</t>
  </si>
  <si>
    <t>Hatchback</t>
  </si>
  <si>
    <t xml:space="preserve">EV Leasing </t>
  </si>
  <si>
    <t xml:space="preserve">Highest Rated </t>
  </si>
  <si>
    <t xml:space="preserve">Charging Model for the Electric Vehicle </t>
  </si>
  <si>
    <t xml:space="preserve">Battery Charging </t>
  </si>
  <si>
    <t>Model of EV ownership preferred for the fleet</t>
  </si>
  <si>
    <t xml:space="preserve">CHARACTERISTICS </t>
  </si>
  <si>
    <t xml:space="preserve">Electric Cars </t>
  </si>
  <si>
    <t xml:space="preserve">Electric Buses </t>
  </si>
  <si>
    <t>Tata Tigor EV</t>
  </si>
  <si>
    <t>MG ZS EV</t>
  </si>
  <si>
    <t>Volvo XC40 Recharge</t>
  </si>
  <si>
    <t>Tata Nexon</t>
  </si>
  <si>
    <t>Ashok Leyland Circuit -S</t>
  </si>
  <si>
    <t>Goldstone-BYD K6</t>
  </si>
  <si>
    <t>Goldstone -BYD K9</t>
  </si>
  <si>
    <t>JBM Ecolife</t>
  </si>
  <si>
    <t>Speedways Electric SEMB -12</t>
  </si>
  <si>
    <t>Speedways Electric SEBC -14</t>
  </si>
  <si>
    <t xml:space="preserve">Vehicle Type </t>
  </si>
  <si>
    <t>SUV</t>
  </si>
  <si>
    <t>31 seater City bus</t>
  </si>
  <si>
    <t xml:space="preserve">23 seater bus </t>
  </si>
  <si>
    <t xml:space="preserve">32 seater </t>
  </si>
  <si>
    <t xml:space="preserve">39 - 43 seater bus </t>
  </si>
  <si>
    <t>Custom sighseeing electric bus</t>
  </si>
  <si>
    <t>Range (km)</t>
  </si>
  <si>
    <t>C2, C4 &amp; C6 - 110</t>
  </si>
  <si>
    <t xml:space="preserve">P2 - 140 </t>
  </si>
  <si>
    <t>150 - 200</t>
  </si>
  <si>
    <t>60-80</t>
  </si>
  <si>
    <t xml:space="preserve">D2,D4 &amp; D6- 140 </t>
  </si>
  <si>
    <t>P4 &amp; P6 - 110</t>
  </si>
  <si>
    <t>Range with revive (km) *</t>
  </si>
  <si>
    <t>NA</t>
  </si>
  <si>
    <t xml:space="preserve">Acceleration </t>
  </si>
  <si>
    <t>0-100 km/hr in 9.7 s</t>
  </si>
  <si>
    <t>0-60 km/hr in 10.7 (C2, C4 &amp; C6)</t>
  </si>
  <si>
    <t>0-40 km/hr in 6.3 s</t>
  </si>
  <si>
    <t xml:space="preserve">0-60 km/hr in 12 s </t>
  </si>
  <si>
    <t>0-100 km/hr in 8.5 s</t>
  </si>
  <si>
    <t>0-100 km/hr in 4.9 s</t>
  </si>
  <si>
    <t>0-100 km/hr in 9.9s</t>
  </si>
  <si>
    <t>0-50 km/hr in 20 s</t>
  </si>
  <si>
    <t>0-60 km/hr in 11.2 (D2, D4 &amp; D6)</t>
  </si>
  <si>
    <t>0-60 km/hr in 14.1 s</t>
  </si>
  <si>
    <t>Gradeability (deg) *</t>
  </si>
  <si>
    <t xml:space="preserve">NA </t>
  </si>
  <si>
    <t>Automotive drag coefficient (cd) *</t>
  </si>
  <si>
    <t>Top Speed (km/hr)</t>
  </si>
  <si>
    <t>80(fleet) &amp; 86(personal)</t>
  </si>
  <si>
    <t>20 -24</t>
  </si>
  <si>
    <t>40-45</t>
  </si>
  <si>
    <t xml:space="preserve">Vehicle Capacity </t>
  </si>
  <si>
    <t>12m - 36 + 2 foldable +Driver ( UBS II) / 40 + 2 foldable+ driver (CMVR)</t>
  </si>
  <si>
    <t xml:space="preserve">11 + driver </t>
  </si>
  <si>
    <t xml:space="preserve">13 + driver </t>
  </si>
  <si>
    <t>9m - upto 35 + Driver</t>
  </si>
  <si>
    <t>Weight (gross) (kg)*</t>
  </si>
  <si>
    <t>1704 (C2, C4 &amp; C6)</t>
  </si>
  <si>
    <t>P2 - 1257</t>
  </si>
  <si>
    <t>1966 kg</t>
  </si>
  <si>
    <t>1704( D2,D4 &amp; D6)</t>
  </si>
  <si>
    <t>P4 - 1252</t>
  </si>
  <si>
    <t>12m - 18000</t>
  </si>
  <si>
    <t>P6 - 1260</t>
  </si>
  <si>
    <t>9m - 13500</t>
  </si>
  <si>
    <t xml:space="preserve">Battery Type </t>
  </si>
  <si>
    <t>Li-ion polymer</t>
  </si>
  <si>
    <t xml:space="preserve">lithium ion </t>
  </si>
  <si>
    <t xml:space="preserve">Lithium ion </t>
  </si>
  <si>
    <t>li- ion phosphate</t>
  </si>
  <si>
    <t xml:space="preserve">li-ion phosphate * 2 </t>
  </si>
  <si>
    <t>lithium ion  ( liquid cooled )</t>
  </si>
  <si>
    <t>Battery Capacity/on-board Power (kWh)</t>
  </si>
  <si>
    <t>13.91 (C2, C4 &amp; C6)</t>
  </si>
  <si>
    <t>P2 - 15</t>
  </si>
  <si>
    <t>18.55 ( D2, D4 &amp; D6)</t>
  </si>
  <si>
    <t>P4 &amp; P6 - 11</t>
  </si>
  <si>
    <t xml:space="preserve">Charging time with portable charger </t>
  </si>
  <si>
    <t xml:space="preserve">19 hrs </t>
  </si>
  <si>
    <t>80% in 16-18 hrs</t>
  </si>
  <si>
    <t>8 hr</t>
  </si>
  <si>
    <t>Fast -DC Charging time (0-80%)</t>
  </si>
  <si>
    <t xml:space="preserve">57 mins </t>
  </si>
  <si>
    <t>1 hr 20 mins ( C2, C4 &amp; C6)</t>
  </si>
  <si>
    <t>1 hr 35 mins ( P2)</t>
  </si>
  <si>
    <t xml:space="preserve">2 hrs </t>
  </si>
  <si>
    <t xml:space="preserve">50 mins </t>
  </si>
  <si>
    <t xml:space="preserve">40 mins </t>
  </si>
  <si>
    <t>60 mins</t>
  </si>
  <si>
    <t>1 - 2 hrs</t>
  </si>
  <si>
    <t xml:space="preserve">3-4 hrs for full charge </t>
  </si>
  <si>
    <t xml:space="preserve">2-3 hrs for full charge </t>
  </si>
  <si>
    <t>5 - 30 mins (Pantograph )</t>
  </si>
  <si>
    <t>1 hr 30 mins ( D2, D4 &amp; D6)</t>
  </si>
  <si>
    <t>NA ( P4 &amp; P6 )</t>
  </si>
  <si>
    <t>Slow- AC Charging time (0-100%)</t>
  </si>
  <si>
    <t xml:space="preserve">6 hrs 10 mins </t>
  </si>
  <si>
    <t>8 hr 30 mins (=/- 15 mins) ( C2, C4 &amp; C6)</t>
  </si>
  <si>
    <t>7 hrs 20 mins ( P2)</t>
  </si>
  <si>
    <t>11.5 hrs</t>
  </si>
  <si>
    <t>6 - 8 hrs ( upto 80 %)</t>
  </si>
  <si>
    <t xml:space="preserve">8 hrs </t>
  </si>
  <si>
    <t xml:space="preserve">5-6 hrs </t>
  </si>
  <si>
    <t>6 -8 hrs ( Plug -in)</t>
  </si>
  <si>
    <t>11 hr 30 mins(=/- 15 mins) ( D2, D4 &amp; D6)</t>
  </si>
  <si>
    <t>6 hrs ( P4 &amp; P6 )</t>
  </si>
  <si>
    <t>15mins - 2 hrs ( Plug in / Pantograph )</t>
  </si>
  <si>
    <t>Price ( Ex-Showroom) (Rs.)</t>
  </si>
  <si>
    <t xml:space="preserve">Premium - 23,71,858 </t>
  </si>
  <si>
    <t>D2 - Rs 10,15,521</t>
  </si>
  <si>
    <t>P4 - Rs. 7,57,425</t>
  </si>
  <si>
    <t>XE+ - Rs. 10,54,175</t>
  </si>
  <si>
    <t>Excite - Rs. 20.88 lakh</t>
  </si>
  <si>
    <t>approx 35 lakh</t>
  </si>
  <si>
    <t>15-17 lakh</t>
  </si>
  <si>
    <t>approx Rs. 1.4 crores</t>
  </si>
  <si>
    <t>Rs. 2,05,90,560 -  3,08,74,261</t>
  </si>
  <si>
    <t>Premium Dual tone - 23,90,608</t>
  </si>
  <si>
    <t xml:space="preserve">D6 - Rs 10,49,302 </t>
  </si>
  <si>
    <t>P6 - Rs. 8,33,177</t>
  </si>
  <si>
    <t>XM+ - Rs. 10,70,869</t>
  </si>
  <si>
    <t xml:space="preserve">Excluse - Rs. 23.58 lakh </t>
  </si>
  <si>
    <t>XT+ - Rs. 10,85,869</t>
  </si>
  <si>
    <t xml:space="preserve">Motor Type </t>
  </si>
  <si>
    <t xml:space="preserve">Permanent magnnet synchronus motor </t>
  </si>
  <si>
    <t xml:space="preserve">3 Phase AC induction motor </t>
  </si>
  <si>
    <t>3 Phase permanent magnet synchronous motor</t>
  </si>
  <si>
    <t xml:space="preserve">Dual Permanent magnet sunchronous motor </t>
  </si>
  <si>
    <t xml:space="preserve">Permanent magnet synchronus AC motor </t>
  </si>
  <si>
    <t xml:space="preserve">AC Synchronus </t>
  </si>
  <si>
    <t xml:space="preserve">Traction motor </t>
  </si>
  <si>
    <t>Torque (Nm)</t>
  </si>
  <si>
    <t xml:space="preserve">91 at 3000 rpm </t>
  </si>
  <si>
    <t xml:space="preserve">70 at 1000 rpm </t>
  </si>
  <si>
    <t>105 at 2500 rpm</t>
  </si>
  <si>
    <t xml:space="preserve">353 at 5000 rpm </t>
  </si>
  <si>
    <t>Power (kW)</t>
  </si>
  <si>
    <t>31kW at 4000 rpm</t>
  </si>
  <si>
    <t xml:space="preserve">19 kW at 3500 rpm </t>
  </si>
  <si>
    <t>30 at 4500 rpm</t>
  </si>
  <si>
    <t xml:space="preserve">106.41 at 3500 rpm </t>
  </si>
  <si>
    <t xml:space="preserve">12m -160 - 215 </t>
  </si>
  <si>
    <t xml:space="preserve">9m - 120 -160 </t>
  </si>
  <si>
    <t xml:space="preserve">Battery warranty </t>
  </si>
  <si>
    <t xml:space="preserve">8 years/160000 km </t>
  </si>
  <si>
    <t>3 years/ 36,000 kms</t>
  </si>
  <si>
    <t>3 years/ 60,000 kms</t>
  </si>
  <si>
    <t xml:space="preserve">3 years/125,000 km </t>
  </si>
  <si>
    <t xml:space="preserve">8 years/ 150,000 km </t>
  </si>
  <si>
    <t>8 years /160934 kms</t>
  </si>
  <si>
    <t xml:space="preserve">8 years/ 1.6 lakh kms </t>
  </si>
  <si>
    <t>12 years / unlimited km</t>
  </si>
  <si>
    <t xml:space="preserve">Car warranty </t>
  </si>
  <si>
    <t xml:space="preserve">3 years/ unlimited km </t>
  </si>
  <si>
    <t xml:space="preserve">2 years / 40,000 kms </t>
  </si>
  <si>
    <t xml:space="preserve">5 years / unkimited km </t>
  </si>
  <si>
    <t>3 years /96,560 kms</t>
  </si>
  <si>
    <t xml:space="preserve">Cost of running </t>
  </si>
  <si>
    <t xml:space="preserve">1/5th of an IC engine car </t>
  </si>
  <si>
    <t>Rs 1.15/km</t>
  </si>
  <si>
    <t xml:space="preserve">Rs. 0.70 / km </t>
  </si>
  <si>
    <t>Rs 1 /km</t>
  </si>
  <si>
    <t xml:space="preserve">Rs. 0.05 /km </t>
  </si>
  <si>
    <t>Regenerative Braking *</t>
  </si>
  <si>
    <t>Yes</t>
  </si>
  <si>
    <t xml:space="preserve">Yes </t>
  </si>
  <si>
    <t xml:space="preserve">3 modes </t>
  </si>
  <si>
    <t>Bootspace ( litres) *</t>
  </si>
  <si>
    <t xml:space="preserve">Steering </t>
  </si>
  <si>
    <t>Motor driven electric</t>
  </si>
  <si>
    <t>Electric</t>
  </si>
  <si>
    <t>Electric power</t>
  </si>
  <si>
    <t xml:space="preserve">Electrically power assisted </t>
  </si>
  <si>
    <t>electro hydraulic power</t>
  </si>
  <si>
    <t xml:space="preserve">power assisted </t>
  </si>
  <si>
    <t>Power</t>
  </si>
  <si>
    <t xml:space="preserve">Transmission </t>
  </si>
  <si>
    <t xml:space="preserve">automatic </t>
  </si>
  <si>
    <t>Single speed automatic</t>
  </si>
  <si>
    <t>Direct drive - clutch free</t>
  </si>
  <si>
    <t xml:space="preserve">Single speed, automatic </t>
  </si>
  <si>
    <t>automatic</t>
  </si>
  <si>
    <t xml:space="preserve">2- speed automatic </t>
  </si>
  <si>
    <t>Emission</t>
  </si>
  <si>
    <t>Zero</t>
  </si>
  <si>
    <t xml:space="preserve">zero tailpipe emission </t>
  </si>
  <si>
    <t>Zero tailpipe emission</t>
  </si>
  <si>
    <t xml:space="preserve">Zero tailpipe </t>
  </si>
  <si>
    <t xml:space="preserve">Zero </t>
  </si>
  <si>
    <t>Turning radius (m)*</t>
  </si>
  <si>
    <t xml:space="preserve">as per CMVR </t>
  </si>
  <si>
    <t>Ground Clearance (mm)*</t>
  </si>
  <si>
    <t xml:space="preserve">Brake </t>
  </si>
  <si>
    <t xml:space="preserve">Electric parking </t>
  </si>
  <si>
    <t xml:space="preserve">Manual parking </t>
  </si>
  <si>
    <t xml:space="preserve">Electric Parking </t>
  </si>
  <si>
    <t>Disk with ABS</t>
  </si>
  <si>
    <t>ABS</t>
  </si>
  <si>
    <t xml:space="preserve">Dual circuit full air S-cam brake with disc &amp; ABS in all four wheels </t>
  </si>
  <si>
    <t xml:space="preserve">Battery swappable </t>
  </si>
  <si>
    <t>No</t>
  </si>
  <si>
    <t xml:space="preserve">less than 4 mins </t>
  </si>
  <si>
    <t xml:space="preserve">Safety standard </t>
  </si>
  <si>
    <t xml:space="preserve">Revive Range </t>
  </si>
  <si>
    <t xml:space="preserve">Gradability </t>
  </si>
  <si>
    <t xml:space="preserve">Automotive drag coefficient </t>
  </si>
  <si>
    <t xml:space="preserve">Gross weight </t>
  </si>
  <si>
    <t xml:space="preserve">Regenerative braking </t>
  </si>
  <si>
    <t>Bootspace</t>
  </si>
  <si>
    <t xml:space="preserve">Turning Radius </t>
  </si>
  <si>
    <t xml:space="preserve">Ground Clearance </t>
  </si>
  <si>
    <t>Maximum operating mass of a including 
chassis , body, fuel , passengers etc.</t>
  </si>
  <si>
    <t>Mechanism to slow down a vehicle by 
converting its kinetic energy to a form 
either is immediately used or stored for later use.</t>
  </si>
  <si>
    <t>A car's ability to climb slopes.</t>
  </si>
  <si>
    <t>Emergency feature which gives 'x' km of
extra charge if car is low on energy.</t>
  </si>
  <si>
    <t>Measure the way car passes through
surrounding air . Reducing it increases fuel and speed efficiency (0.35 - 0.45).</t>
  </si>
  <si>
    <t>Space to keep the luggages in a car.</t>
  </si>
  <si>
    <t>Radius of the smallest circular turn.</t>
  </si>
  <si>
    <t>The height between the lowest part of 
vehicle's frame and ground.</t>
  </si>
  <si>
    <t>S.No.</t>
  </si>
  <si>
    <t xml:space="preserve">Vendor </t>
  </si>
  <si>
    <t xml:space="preserve">City </t>
  </si>
  <si>
    <t xml:space="preserve">Service location </t>
  </si>
  <si>
    <t>Type of battery
used</t>
  </si>
  <si>
    <t>Swapping Time</t>
  </si>
  <si>
    <t>Lithion Power</t>
  </si>
  <si>
    <t>EXICOM</t>
  </si>
  <si>
    <t>Fortum India</t>
  </si>
  <si>
    <t>Evcharz</t>
  </si>
  <si>
    <t xml:space="preserve">ACME </t>
  </si>
  <si>
    <t>Panasonic</t>
  </si>
  <si>
    <t xml:space="preserve">Ola Electric Mobility </t>
  </si>
  <si>
    <t xml:space="preserve">Swapping Models w.r.t battery packs </t>
  </si>
  <si>
    <t>BDB Point</t>
  </si>
  <si>
    <t>Delta</t>
  </si>
  <si>
    <t xml:space="preserve">Mass - Tech </t>
  </si>
  <si>
    <t xml:space="preserve">ABB India </t>
  </si>
  <si>
    <t xml:space="preserve">Okaya Power Group </t>
  </si>
  <si>
    <t>EVQ Point</t>
  </si>
  <si>
    <t xml:space="preserve">Magenta Power </t>
  </si>
  <si>
    <t>Evolt</t>
  </si>
  <si>
    <t>Ensto</t>
  </si>
  <si>
    <t>SemaConnect India</t>
  </si>
  <si>
    <t>Zevpoint E-mobility</t>
  </si>
  <si>
    <t>SEMCO Infratech</t>
  </si>
  <si>
    <t xml:space="preserve">Cell Propulsion </t>
  </si>
  <si>
    <t xml:space="preserve">Tata Power </t>
  </si>
  <si>
    <t>EVteQ</t>
  </si>
  <si>
    <t xml:space="preserve">Amplify Mobility </t>
  </si>
  <si>
    <t>Powerlogix Electro Systems Pvt Ltd</t>
  </si>
  <si>
    <t>Webasto</t>
  </si>
  <si>
    <t xml:space="preserve">Zap Mobility </t>
  </si>
  <si>
    <t xml:space="preserve">Charzer </t>
  </si>
  <si>
    <t xml:space="preserve">JBM </t>
  </si>
  <si>
    <t>Radiate Energy</t>
  </si>
  <si>
    <t xml:space="preserve">Siemens Energy                          </t>
  </si>
  <si>
    <t>Infineon</t>
  </si>
  <si>
    <t>Caliber Interconnect</t>
  </si>
  <si>
    <t>Cellerite</t>
  </si>
  <si>
    <t>Phoenix Contact</t>
  </si>
  <si>
    <t>Greenlots 
(A Member of Shell Group)</t>
  </si>
  <si>
    <t>Nexcharge
 (Exide Industries &amp; Leclanche Energy Storage Solution joint venture )</t>
  </si>
  <si>
    <t xml:space="preserve">EESL </t>
  </si>
  <si>
    <t>Bosch</t>
  </si>
  <si>
    <t xml:space="preserve"> Yahhvi Enterprises Pvt Ltd</t>
  </si>
  <si>
    <t>Efacec India Pvt. Ltd.</t>
  </si>
  <si>
    <t>Littelfuse</t>
  </si>
  <si>
    <t xml:space="preserve">EV Motors </t>
  </si>
  <si>
    <t>CHARGE + ZONE</t>
  </si>
  <si>
    <t>EnerTech</t>
  </si>
  <si>
    <t>enel X</t>
  </si>
  <si>
    <t>ChargeIT</t>
  </si>
  <si>
    <t xml:space="preserve">EV Zest </t>
  </si>
  <si>
    <t xml:space="preserve">EV Plugin </t>
  </si>
  <si>
    <t>eChargeBays</t>
  </si>
  <si>
    <t>TATA Autocomp</t>
  </si>
  <si>
    <t xml:space="preserve">Fronius India </t>
  </si>
  <si>
    <t>ZIV Automation India Pvt Limited</t>
  </si>
  <si>
    <t xml:space="preserve">EVI Technologies </t>
  </si>
  <si>
    <t>Axiom</t>
  </si>
  <si>
    <t xml:space="preserve">Service
 location </t>
  </si>
  <si>
    <t>AC CHARGING</t>
  </si>
  <si>
    <t>DC CHARGING</t>
  </si>
  <si>
    <t>Charging
 Model</t>
  </si>
  <si>
    <t>No. of 
Guns</t>
  </si>
  <si>
    <t>BrightBlu</t>
  </si>
  <si>
    <t>VOLTTIC - TVESAS ELECTRIC SOLUTIONS PVT LTD.</t>
  </si>
  <si>
    <t xml:space="preserve">Power Output </t>
  </si>
  <si>
    <t xml:space="preserve">Resultant Monthly Cost </t>
  </si>
  <si>
    <t>ic</t>
  </si>
  <si>
    <t>price</t>
  </si>
  <si>
    <t>maintanence</t>
  </si>
  <si>
    <t xml:space="preserve">Total </t>
  </si>
  <si>
    <t>Mahindra e20 plus</t>
  </si>
  <si>
    <t>Tata tigor</t>
  </si>
  <si>
    <t>TATA Nexon</t>
  </si>
  <si>
    <t>Factor</t>
  </si>
  <si>
    <t>Extra fuel /maintenance costs per shift for ICE cars</t>
  </si>
  <si>
    <t xml:space="preserve">Sedan </t>
  </si>
  <si>
    <t xml:space="preserve">EV TYPE </t>
  </si>
  <si>
    <t>HYUNDAI KONA Electric</t>
  </si>
  <si>
    <t xml:space="preserve">Mahindra e-Verito
</t>
  </si>
  <si>
    <t xml:space="preserve">Mahindra e20 Plus </t>
  </si>
  <si>
    <t>Cheapest</t>
  </si>
  <si>
    <t xml:space="preserve">EV Purchasing </t>
  </si>
  <si>
    <t>Avg Factor</t>
  </si>
  <si>
    <t>petrol/charge/swap</t>
  </si>
  <si>
    <t>Criteria for Charging service provider</t>
  </si>
  <si>
    <t>Criteria for Swapping service provider</t>
  </si>
  <si>
    <t>Cost of Technology &amp; Manpower</t>
  </si>
  <si>
    <t>Score</t>
  </si>
  <si>
    <t>Please select</t>
  </si>
  <si>
    <t>Battery Swapping</t>
  </si>
  <si>
    <t xml:space="preserve">Car Type </t>
  </si>
  <si>
    <t xml:space="preserve">No. of swappping units 
</t>
  </si>
  <si>
    <t>Max no. of EVs to be 
charged simultneously</t>
  </si>
  <si>
    <t>Resultant Total 
Operational Cost</t>
  </si>
  <si>
    <t xml:space="preserve">Resultant Total 
Capital Cost </t>
  </si>
  <si>
    <t>Max. no. of EVs to be 
swapped simultneously</t>
  </si>
  <si>
    <t>Battery type</t>
  </si>
  <si>
    <t>Mahindra e-verito</t>
  </si>
  <si>
    <t>Hyundai KONA Electric</t>
  </si>
  <si>
    <t>Trips day wise</t>
  </si>
  <si>
    <t>fleet mix</t>
  </si>
  <si>
    <t>trip mix</t>
  </si>
  <si>
    <t>ev type mix</t>
  </si>
  <si>
    <t>shift dist.</t>
  </si>
  <si>
    <t>return seq</t>
  </si>
  <si>
    <t>No. of shifts</t>
  </si>
  <si>
    <t>AC</t>
  </si>
  <si>
    <t>DC</t>
  </si>
  <si>
    <t>Avg. Trip Mix w.r.t cars per shift
(% of short trip : % of medium trip :% of long trip )
=</t>
  </si>
  <si>
    <t>Time period for car lease</t>
  </si>
  <si>
    <t>Battery Leasing</t>
  </si>
  <si>
    <t>Time period for battery lease</t>
  </si>
  <si>
    <t>Battery lease</t>
  </si>
  <si>
    <t>Battery Charging with purchased battery</t>
  </si>
  <si>
    <t>Battery Charging with leased battery</t>
  </si>
  <si>
    <t>Range(km)</t>
  </si>
  <si>
    <t xml:space="preserve">                                                                                                                     </t>
  </si>
  <si>
    <t>Name</t>
  </si>
  <si>
    <t>AC Charging</t>
  </si>
  <si>
    <t>DC Charging</t>
  </si>
  <si>
    <t xml:space="preserve">Manufacturer/Supllier Name </t>
  </si>
  <si>
    <t>Power Output(kW)</t>
  </si>
  <si>
    <t>Cost per unit (Rs.)</t>
  </si>
  <si>
    <t>Swapping Time (mins)</t>
  </si>
  <si>
    <t>Model Name</t>
  </si>
  <si>
    <t xml:space="preserve">Model Name </t>
  </si>
  <si>
    <t xml:space="preserve">Battery type </t>
  </si>
  <si>
    <t xml:space="preserve">BatteryType </t>
  </si>
  <si>
    <t>0-60 km/hr in 10.7 (C2, C4 &amp; C6),
0-60 km/hr in 11.2 (D2, D4 &amp; D6)</t>
  </si>
  <si>
    <t>0-40 km/hr in 6.3 s,
0-60 km/hr in 14.1 s</t>
  </si>
  <si>
    <t xml:space="preserve">No. of Charging guns </t>
  </si>
  <si>
    <t xml:space="preserve">Criteria for Charging model </t>
  </si>
  <si>
    <t xml:space="preserve">No. of battery packs </t>
  </si>
  <si>
    <t>Criteria for Swapping</t>
  </si>
  <si>
    <t>CAPEX</t>
  </si>
  <si>
    <t>OPEX</t>
  </si>
  <si>
    <t xml:space="preserve">Type 2 AC </t>
  </si>
  <si>
    <t>Bharat AC-001</t>
  </si>
  <si>
    <t>Bharat DC</t>
  </si>
  <si>
    <t>S. No.</t>
  </si>
  <si>
    <t>ac</t>
  </si>
  <si>
    <t>dc</t>
  </si>
  <si>
    <t xml:space="preserve">AC Chargers </t>
  </si>
  <si>
    <t xml:space="preserve">DC Chargers </t>
  </si>
  <si>
    <t>helper1</t>
  </si>
  <si>
    <t>helper2</t>
  </si>
  <si>
    <t>ac1</t>
  </si>
  <si>
    <t>dc1</t>
  </si>
  <si>
    <t>Arranged in
 largest to lowest power</t>
  </si>
  <si>
    <t xml:space="preserve">helper 1 </t>
  </si>
  <si>
    <t>helper 2</t>
  </si>
  <si>
    <t>helper 3</t>
  </si>
  <si>
    <t>helper 4</t>
  </si>
  <si>
    <t>helper 5</t>
  </si>
  <si>
    <t xml:space="preserve">Min no. of Charging guns per charging unit </t>
  </si>
  <si>
    <t>Min no. of battery packs per swapping unit</t>
  </si>
  <si>
    <t>No. of guns</t>
  </si>
  <si>
    <t xml:space="preserve">Cost per unit </t>
  </si>
  <si>
    <t xml:space="preserve">Battery packs per model </t>
  </si>
  <si>
    <t>helper 1</t>
  </si>
  <si>
    <t>Battery Packs per unit</t>
  </si>
  <si>
    <t>hatch</t>
  </si>
  <si>
    <t>sedan</t>
  </si>
  <si>
    <t>suv</t>
  </si>
  <si>
    <t>Li-ion Polymer</t>
  </si>
  <si>
    <t xml:space="preserve">No. of AC charging units 
</t>
  </si>
  <si>
    <t xml:space="preserve">No. of DC charging units 
</t>
  </si>
  <si>
    <t>Cars 
daily</t>
  </si>
  <si>
    <t xml:space="preserve">Resulatant EV Car mix post conversion </t>
  </si>
  <si>
    <t xml:space="preserve">Resulatant EV Trip mix post conversion </t>
  </si>
  <si>
    <t>Trips done by Sedans</t>
  </si>
  <si>
    <t>swap stations</t>
  </si>
  <si>
    <t>Trips done by
 Hatchbacks</t>
  </si>
  <si>
    <t>Total no. of AC
 charging units</t>
  </si>
  <si>
    <t>Total no. of DC
 charging units</t>
  </si>
  <si>
    <t>Total no. of 
swapping units</t>
  </si>
  <si>
    <t>Trips done by SUVs</t>
  </si>
  <si>
    <t>ads</t>
  </si>
  <si>
    <t xml:space="preserve">                       </t>
  </si>
  <si>
    <t xml:space="preserve">Car Mix per shift in case of complete EV conversion
( % of SUV : % of Sedan : % of Hatchback)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</si>
</sst>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1" formatCode="_(* #,##0_);_(* \(#,##0\);_(* &quot;-&quot;_);_(@_)"/>
    <numFmt numFmtId="44" formatCode="_(&quot;$&quot;* #,##0.00_);_(&quot;$&quot;* \(#,##0.00\);_(&quot;$&quot;* &quot;-&quot;??_);_(@_)"/>
    <numFmt numFmtId="164" formatCode="_ [$₹-44B]* #,##0_ ;_ [$₹-44B]* \-#,##0_ ;_ [$₹-44B]* &quot;-&quot;_ ;_ @_ "/>
    <numFmt numFmtId="165" formatCode="0;[Red]0"/>
    <numFmt numFmtId="166" formatCode="0.0%"/>
    <numFmt numFmtId="167" formatCode="_ [$₹-4009]\ * #,##0_ ;_ [$₹-4009]\ * \-#,##0_ ;_ [$₹-4009]\ * &quot;-&quot;_ ;_ @_ "/>
    <numFmt numFmtId="168" formatCode="_ [$₹-448]\ * #,##0_ ;_ [$₹-448]\ * \-#,##0_ ;_ [$₹-448]\ * &quot;-&quot;_ ;_ @_ "/>
    <numFmt numFmtId="169" formatCode="_ [$₹-44B]* #,##0_ ;_ [$₹-44B]* \-#,##0_ ;_ [$₹-44B]* &quot;-&quot;??_ ;_ @_ "/>
    <numFmt numFmtId="170" formatCode="_ [$₹-44E]* #,##0_ ;_ [$₹-44E]* \-#,##0_ ;_ [$₹-44E]* &quot;-&quot;_ ;_ @_ "/>
    <numFmt numFmtId="171" formatCode="_ [$₹-439]* #,##0_ ;_ [$₹-439]* \-#,##0_ ;_ [$₹-439]* &quot;-&quot;_ ;_ @_ "/>
    <numFmt numFmtId="172" formatCode="0.00000"/>
    <numFmt numFmtId="173" formatCode="0.000"/>
    <numFmt numFmtId="174" formatCode="_ [$₹-448]\ * #,##0.00_ ;_ [$₹-448]\ * \-#,##0.00_ ;_ [$₹-448]\ * &quot;-&quot;??_ ;_ @_ "/>
    <numFmt numFmtId="175" formatCode="_ [$₹-448]\ * #,##0_ ;_ [$₹-448]\ * \-#,##0_ ;_ [$₹-448]\ * &quot;-&quot;??_ ;_ @_ "/>
    <numFmt numFmtId="176" formatCode="_ [$₹-446]\ * #,##0_ ;_ [$₹-446]\ * \-#,##0_ ;_ [$₹-446]\ * &quot;-&quot;_ ;_ @_ "/>
    <numFmt numFmtId="177" formatCode="_-[$₹-820]* #,##0_-;\-[$₹-820]* #,##0_-;_-[$₹-820]* &quot;-&quot;_-;_-@_-"/>
    <numFmt numFmtId="178" formatCode="_ [$₹-447]* #,##0_ ;_ [$₹-447]* \-#,##0_ ;_ [$₹-447]* &quot;-&quot;_ ;_ @_ "/>
    <numFmt numFmtId="179" formatCode="_-[$₹-458]* #,##0_-;\-[$₹-458]* #,##0_-;_-[$₹-458]* &quot;-&quot;_-;_-@_-"/>
    <numFmt numFmtId="180" formatCode="_-[$₹-460]\ * #,##0_-;\-[$₹-460]\ * #,##0_-;_-[$₹-460]\ * &quot;-&quot;_-;_-@_-"/>
    <numFmt numFmtId="181" formatCode="0.0"/>
    <numFmt numFmtId="182" formatCode="_ [$₹-44B]* #,##0.00_ ;_ [$₹-44B]* \-#,##0.00_ ;_ [$₹-44B]* &quot;-&quot;??_ ;_ @_ "/>
    <numFmt numFmtId="183" formatCode="0.0000000"/>
    <numFmt numFmtId="184" formatCode="_-[$₹-460]\ * #,##0.00_-;\-[$₹-460]\ * #,##0.00_-;_-[$₹-460]\ * &quot;-&quot;??_-;_-@_-"/>
    <numFmt numFmtId="185" formatCode="_ [$₹-449]\ * #,##0_ ;_ [$₹-449]\ * \-#,##0_ ;_ [$₹-449]\ * &quot;-&quot;_ ;_ @_ "/>
    <numFmt numFmtId="186" formatCode="_-[$₹-459]* #,##0.00_-;\-[$₹-459]* #,##0.00_-;_-[$₹-459]* &quot;-&quot;??_-;_-@_-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Univers for KPMG"/>
      <family val="2"/>
    </font>
    <font>
      <sz val="11"/>
      <name val="Calibri"/>
      <family val="2"/>
      <scheme val="minor"/>
    </font>
    <font>
      <b/>
      <sz val="13"/>
      <color theme="1"/>
      <name val="Bahnschrift SemiBold"/>
      <family val="2"/>
    </font>
    <font>
      <b/>
      <sz val="11"/>
      <color theme="1"/>
      <name val="Univers for KPMG"/>
      <family val="2"/>
    </font>
    <font>
      <sz val="11"/>
      <color theme="2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name val="Univers for KPMG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Univers for KPMG"/>
      <family val="2"/>
    </font>
    <font>
      <b/>
      <sz val="20"/>
      <color theme="0"/>
      <name val="Univers for KPMG"/>
      <family val="2"/>
    </font>
    <font>
      <sz val="11"/>
      <color theme="1"/>
      <name val="Univers for KPMG"/>
      <family val="2"/>
    </font>
    <font>
      <sz val="12"/>
      <color theme="1"/>
      <name val="Univers for KPMG"/>
      <family val="2"/>
    </font>
    <font>
      <sz val="12"/>
      <name val="Univers for KPMG"/>
      <family val="2"/>
    </font>
    <font>
      <b/>
      <sz val="12"/>
      <color theme="1"/>
      <name val="Univers for KPMG"/>
      <family val="2"/>
    </font>
    <font>
      <b/>
      <sz val="12"/>
      <name val="Univers for KPMG"/>
      <family val="2"/>
    </font>
    <font>
      <b/>
      <sz val="13"/>
      <name val="Bahnschrift SemiBold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Univers for KPMG"/>
      <family val="2"/>
    </font>
    <font>
      <i/>
      <sz val="12"/>
      <name val="Calibri"/>
      <family val="2"/>
      <scheme val="minor"/>
    </font>
    <font>
      <sz val="1"/>
      <name val="Calibri"/>
      <family val="2"/>
      <scheme val="minor"/>
    </font>
    <font>
      <i/>
      <sz val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9">
    <xf numFmtId="0" fontId="0" fillId="0" borderId="0" xfId="0"/>
    <xf numFmtId="41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horizontal="center" vertical="center"/>
    </xf>
    <xf numFmtId="41" fontId="0" fillId="0" borderId="0" xfId="0" applyNumberFormat="1" applyFill="1" applyBorder="1" applyAlignment="1">
      <alignment horizontal="center"/>
    </xf>
    <xf numFmtId="0" fontId="0" fillId="0" borderId="0" xfId="0" applyFill="1" applyBorder="1"/>
    <xf numFmtId="41" fontId="0" fillId="0" borderId="0" xfId="0" quotePrefix="1" applyNumberForma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167" fontId="9" fillId="0" borderId="1" xfId="0" applyNumberFormat="1" applyFont="1" applyFill="1" applyBorder="1" applyAlignment="1">
      <alignment horizontal="center" vertical="center"/>
    </xf>
    <xf numFmtId="167" fontId="9" fillId="0" borderId="1" xfId="0" applyNumberFormat="1" applyFont="1" applyFill="1" applyBorder="1" applyAlignment="1">
      <alignment horizontal="center" vertical="center" wrapText="1"/>
    </xf>
    <xf numFmtId="168" fontId="9" fillId="0" borderId="9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3" fillId="0" borderId="0" xfId="0" applyFont="1"/>
    <xf numFmtId="41" fontId="9" fillId="0" borderId="13" xfId="0" applyNumberFormat="1" applyFont="1" applyFill="1" applyBorder="1" applyAlignment="1">
      <alignment horizontal="center" vertical="center" wrapText="1"/>
    </xf>
    <xf numFmtId="175" fontId="9" fillId="0" borderId="11" xfId="0" applyNumberFormat="1" applyFont="1" applyFill="1" applyBorder="1" applyAlignment="1">
      <alignment horizontal="center" vertical="center" wrapText="1"/>
    </xf>
    <xf numFmtId="41" fontId="9" fillId="0" borderId="2" xfId="0" applyNumberFormat="1" applyFont="1" applyFill="1" applyBorder="1" applyAlignment="1">
      <alignment horizontal="center" vertical="center" wrapText="1"/>
    </xf>
    <xf numFmtId="175" fontId="9" fillId="0" borderId="6" xfId="0" applyNumberFormat="1" applyFont="1" applyFill="1" applyBorder="1" applyAlignment="1">
      <alignment horizontal="center" vertical="center" wrapText="1"/>
    </xf>
    <xf numFmtId="10" fontId="9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wrapText="1"/>
    </xf>
    <xf numFmtId="0" fontId="9" fillId="0" borderId="0" xfId="0" applyFont="1" applyFill="1" applyAlignment="1">
      <alignment horizontal="center" vertical="center" wrapText="1"/>
    </xf>
    <xf numFmtId="41" fontId="9" fillId="0" borderId="6" xfId="0" applyNumberFormat="1" applyFont="1" applyFill="1" applyBorder="1" applyAlignment="1">
      <alignment horizontal="center" vertical="center" wrapText="1"/>
    </xf>
    <xf numFmtId="41" fontId="9" fillId="0" borderId="12" xfId="0" applyNumberFormat="1" applyFont="1" applyFill="1" applyBorder="1" applyAlignment="1">
      <alignment horizontal="center" vertical="center" wrapText="1"/>
    </xf>
    <xf numFmtId="0" fontId="9" fillId="0" borderId="0" xfId="0" applyFont="1"/>
    <xf numFmtId="1" fontId="9" fillId="0" borderId="5" xfId="0" applyNumberFormat="1" applyFont="1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1" fontId="9" fillId="0" borderId="14" xfId="0" applyNumberFormat="1" applyFont="1" applyFill="1" applyBorder="1" applyAlignment="1">
      <alignment horizontal="center" vertical="center"/>
    </xf>
    <xf numFmtId="1" fontId="9" fillId="0" borderId="1" xfId="0" applyNumberFormat="1" applyFont="1" applyFill="1" applyBorder="1" applyAlignment="1">
      <alignment horizontal="center" vertical="center"/>
    </xf>
    <xf numFmtId="1" fontId="9" fillId="0" borderId="13" xfId="0" applyNumberFormat="1" applyFont="1" applyFill="1" applyBorder="1" applyAlignment="1">
      <alignment horizontal="center" vertical="center"/>
    </xf>
    <xf numFmtId="0" fontId="9" fillId="0" borderId="0" xfId="0" applyFont="1" applyFill="1"/>
    <xf numFmtId="0" fontId="9" fillId="0" borderId="1" xfId="0" applyFont="1" applyFill="1" applyBorder="1"/>
    <xf numFmtId="1" fontId="9" fillId="0" borderId="0" xfId="0" applyNumberFormat="1" applyFont="1"/>
    <xf numFmtId="174" fontId="9" fillId="0" borderId="1" xfId="0" applyNumberFormat="1" applyFont="1" applyFill="1" applyBorder="1" applyAlignment="1">
      <alignment horizontal="center" vertical="center"/>
    </xf>
    <xf numFmtId="175" fontId="9" fillId="0" borderId="1" xfId="0" applyNumberFormat="1" applyFont="1" applyFill="1" applyBorder="1"/>
    <xf numFmtId="0" fontId="9" fillId="0" borderId="0" xfId="0" applyFont="1" applyFill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9" fillId="0" borderId="10" xfId="0" applyFont="1" applyFill="1" applyBorder="1"/>
    <xf numFmtId="170" fontId="9" fillId="0" borderId="0" xfId="0" applyNumberFormat="1" applyFont="1"/>
    <xf numFmtId="0" fontId="9" fillId="0" borderId="3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9" fontId="9" fillId="0" borderId="0" xfId="0" applyNumberFormat="1" applyFont="1"/>
    <xf numFmtId="175" fontId="9" fillId="0" borderId="0" xfId="0" applyNumberFormat="1" applyFont="1" applyFill="1" applyBorder="1" applyAlignment="1">
      <alignment horizontal="center" vertical="center"/>
    </xf>
    <xf numFmtId="175" fontId="9" fillId="0" borderId="5" xfId="0" applyNumberFormat="1" applyFont="1" applyFill="1" applyBorder="1" applyAlignment="1">
      <alignment horizontal="center" vertical="center"/>
    </xf>
    <xf numFmtId="2" fontId="9" fillId="0" borderId="0" xfId="0" applyNumberFormat="1" applyFont="1" applyFill="1"/>
    <xf numFmtId="175" fontId="9" fillId="0" borderId="4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1" fontId="9" fillId="0" borderId="3" xfId="0" applyNumberFormat="1" applyFont="1" applyFill="1" applyBorder="1"/>
    <xf numFmtId="1" fontId="9" fillId="0" borderId="1" xfId="0" applyNumberFormat="1" applyFont="1" applyFill="1" applyBorder="1"/>
    <xf numFmtId="0" fontId="10" fillId="0" borderId="12" xfId="0" applyFont="1" applyFill="1" applyBorder="1" applyAlignment="1">
      <alignment horizontal="center" vertical="center" wrapText="1"/>
    </xf>
    <xf numFmtId="1" fontId="9" fillId="0" borderId="0" xfId="0" applyNumberFormat="1" applyFont="1" applyFill="1" applyBorder="1"/>
    <xf numFmtId="175" fontId="9" fillId="0" borderId="6" xfId="0" applyNumberFormat="1" applyFont="1" applyFill="1" applyBorder="1" applyAlignment="1">
      <alignment horizontal="center" vertical="center"/>
    </xf>
    <xf numFmtId="175" fontId="9" fillId="0" borderId="7" xfId="0" applyNumberFormat="1" applyFont="1" applyFill="1" applyBorder="1" applyAlignment="1">
      <alignment horizontal="center" vertical="center"/>
    </xf>
    <xf numFmtId="175" fontId="9" fillId="0" borderId="8" xfId="0" applyNumberFormat="1" applyFont="1" applyFill="1" applyBorder="1" applyAlignment="1">
      <alignment horizontal="center" vertical="center"/>
    </xf>
    <xf numFmtId="175" fontId="9" fillId="0" borderId="0" xfId="0" applyNumberFormat="1" applyFont="1" applyFill="1"/>
    <xf numFmtId="0" fontId="10" fillId="0" borderId="11" xfId="0" applyFont="1" applyFill="1" applyBorder="1" applyAlignment="1">
      <alignment horizontal="center" vertical="center" wrapText="1"/>
    </xf>
    <xf numFmtId="1" fontId="9" fillId="0" borderId="7" xfId="0" applyNumberFormat="1" applyFont="1" applyFill="1" applyBorder="1"/>
    <xf numFmtId="176" fontId="9" fillId="0" borderId="0" xfId="0" applyNumberFormat="1" applyFont="1" applyFill="1"/>
    <xf numFmtId="174" fontId="9" fillId="0" borderId="0" xfId="0" applyNumberFormat="1" applyFont="1" applyFill="1"/>
    <xf numFmtId="168" fontId="9" fillId="0" borderId="0" xfId="0" applyNumberFormat="1" applyFont="1" applyFill="1"/>
    <xf numFmtId="177" fontId="9" fillId="0" borderId="0" xfId="1" applyNumberFormat="1" applyFont="1" applyFill="1"/>
    <xf numFmtId="0" fontId="9" fillId="0" borderId="0" xfId="0" applyFont="1" applyFill="1" applyBorder="1"/>
    <xf numFmtId="171" fontId="9" fillId="0" borderId="0" xfId="0" applyNumberFormat="1" applyFont="1"/>
    <xf numFmtId="41" fontId="9" fillId="0" borderId="2" xfId="0" applyNumberFormat="1" applyFont="1" applyFill="1" applyBorder="1" applyAlignment="1">
      <alignment horizontal="center" vertical="center"/>
    </xf>
    <xf numFmtId="41" fontId="9" fillId="0" borderId="3" xfId="0" applyNumberFormat="1" applyFont="1" applyFill="1" applyBorder="1" applyAlignment="1">
      <alignment horizontal="center" vertical="center"/>
    </xf>
    <xf numFmtId="41" fontId="9" fillId="0" borderId="14" xfId="0" applyNumberFormat="1" applyFont="1" applyFill="1" applyBorder="1" applyAlignment="1">
      <alignment horizontal="center" vertical="center"/>
    </xf>
    <xf numFmtId="41" fontId="9" fillId="0" borderId="10" xfId="0" applyNumberFormat="1" applyFont="1" applyFill="1" applyBorder="1" applyAlignment="1">
      <alignment horizontal="center" vertical="center"/>
    </xf>
    <xf numFmtId="0" fontId="9" fillId="0" borderId="14" xfId="0" applyFont="1" applyFill="1" applyBorder="1"/>
    <xf numFmtId="41" fontId="9" fillId="0" borderId="4" xfId="0" applyNumberFormat="1" applyFont="1" applyFill="1" applyBorder="1" applyAlignment="1">
      <alignment horizontal="center" vertical="center"/>
    </xf>
    <xf numFmtId="41" fontId="9" fillId="0" borderId="0" xfId="0" applyNumberFormat="1" applyFont="1" applyFill="1" applyBorder="1" applyAlignment="1">
      <alignment horizontal="center" vertical="center"/>
    </xf>
    <xf numFmtId="41" fontId="9" fillId="0" borderId="5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70" fontId="9" fillId="0" borderId="0" xfId="1" applyNumberFormat="1" applyFont="1"/>
    <xf numFmtId="0" fontId="10" fillId="0" borderId="6" xfId="0" applyFont="1" applyFill="1" applyBorder="1" applyAlignment="1">
      <alignment horizontal="center" vertical="center"/>
    </xf>
    <xf numFmtId="41" fontId="9" fillId="0" borderId="6" xfId="0" applyNumberFormat="1" applyFont="1" applyFill="1" applyBorder="1" applyAlignment="1">
      <alignment horizontal="center" vertical="center"/>
    </xf>
    <xf numFmtId="41" fontId="9" fillId="0" borderId="7" xfId="0" applyNumberFormat="1" applyFont="1" applyFill="1" applyBorder="1" applyAlignment="1">
      <alignment horizontal="center" vertical="center"/>
    </xf>
    <xf numFmtId="41" fontId="9" fillId="0" borderId="8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175" fontId="9" fillId="0" borderId="0" xfId="0" applyNumberFormat="1" applyFont="1" applyFill="1" applyAlignment="1">
      <alignment horizontal="center" vertical="center"/>
    </xf>
    <xf numFmtId="175" fontId="9" fillId="0" borderId="0" xfId="0" applyNumberFormat="1" applyFont="1"/>
    <xf numFmtId="0" fontId="10" fillId="0" borderId="0" xfId="0" applyFont="1" applyFill="1" applyBorder="1" applyAlignment="1">
      <alignment horizontal="center" vertical="center"/>
    </xf>
    <xf numFmtId="176" fontId="9" fillId="0" borderId="0" xfId="0" applyNumberFormat="1" applyFont="1"/>
    <xf numFmtId="0" fontId="9" fillId="0" borderId="0" xfId="0" applyFont="1" applyAlignment="1">
      <alignment horizontal="center" vertical="center"/>
    </xf>
    <xf numFmtId="177" fontId="9" fillId="0" borderId="0" xfId="0" applyNumberFormat="1" applyFont="1"/>
    <xf numFmtId="41" fontId="10" fillId="0" borderId="10" xfId="0" applyNumberFormat="1" applyFont="1" applyFill="1" applyBorder="1" applyAlignment="1">
      <alignment vertical="center"/>
    </xf>
    <xf numFmtId="41" fontId="10" fillId="0" borderId="1" xfId="0" applyNumberFormat="1" applyFont="1" applyFill="1" applyBorder="1" applyAlignment="1">
      <alignment vertical="center"/>
    </xf>
    <xf numFmtId="41" fontId="9" fillId="0" borderId="1" xfId="0" applyNumberFormat="1" applyFont="1" applyFill="1" applyBorder="1"/>
    <xf numFmtId="41" fontId="9" fillId="0" borderId="0" xfId="0" applyNumberFormat="1" applyFont="1" applyFill="1" applyAlignment="1">
      <alignment horizontal="center" vertical="center"/>
    </xf>
    <xf numFmtId="41" fontId="10" fillId="0" borderId="0" xfId="0" applyNumberFormat="1" applyFont="1" applyFill="1" applyBorder="1" applyAlignment="1">
      <alignment vertical="center"/>
    </xf>
    <xf numFmtId="41" fontId="9" fillId="0" borderId="0" xfId="0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14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7" fillId="0" borderId="0" xfId="0" applyFont="1"/>
    <xf numFmtId="0" fontId="7" fillId="0" borderId="7" xfId="0" applyFont="1" applyBorder="1"/>
    <xf numFmtId="0" fontId="3" fillId="0" borderId="3" xfId="0" applyFont="1" applyBorder="1"/>
    <xf numFmtId="0" fontId="11" fillId="0" borderId="0" xfId="0" applyFont="1"/>
    <xf numFmtId="0" fontId="11" fillId="0" borderId="4" xfId="0" applyFont="1" applyBorder="1"/>
    <xf numFmtId="0" fontId="14" fillId="0" borderId="0" xfId="0" applyFont="1"/>
    <xf numFmtId="0" fontId="14" fillId="0" borderId="4" xfId="0" applyFont="1" applyBorder="1"/>
    <xf numFmtId="0" fontId="17" fillId="0" borderId="0" xfId="0" applyFont="1"/>
    <xf numFmtId="0" fontId="17" fillId="0" borderId="4" xfId="0" applyFont="1" applyBorder="1"/>
    <xf numFmtId="0" fontId="20" fillId="11" borderId="17" xfId="0" applyFont="1" applyFill="1" applyBorder="1" applyAlignment="1">
      <alignment horizontal="center" vertical="center"/>
    </xf>
    <xf numFmtId="0" fontId="20" fillId="9" borderId="17" xfId="0" applyFont="1" applyFill="1" applyBorder="1" applyAlignment="1">
      <alignment horizontal="center" vertical="center"/>
    </xf>
    <xf numFmtId="0" fontId="20" fillId="11" borderId="18" xfId="0" applyFont="1" applyFill="1" applyBorder="1" applyAlignment="1">
      <alignment horizontal="center" vertical="center"/>
    </xf>
    <xf numFmtId="0" fontId="21" fillId="10" borderId="1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7" fillId="0" borderId="5" xfId="0" applyFont="1" applyBorder="1"/>
    <xf numFmtId="0" fontId="7" fillId="0" borderId="8" xfId="0" applyFont="1" applyBorder="1"/>
    <xf numFmtId="0" fontId="3" fillId="0" borderId="0" xfId="0" applyFont="1" applyBorder="1"/>
    <xf numFmtId="0" fontId="0" fillId="8" borderId="0" xfId="0" applyFill="1" applyBorder="1"/>
    <xf numFmtId="0" fontId="12" fillId="0" borderId="0" xfId="0" applyFont="1" applyBorder="1"/>
    <xf numFmtId="0" fontId="13" fillId="8" borderId="0" xfId="0" applyFont="1" applyFill="1" applyBorder="1"/>
    <xf numFmtId="0" fontId="12" fillId="8" borderId="0" xfId="0" applyFont="1" applyFill="1" applyBorder="1"/>
    <xf numFmtId="0" fontId="3" fillId="8" borderId="0" xfId="0" applyFont="1" applyFill="1" applyBorder="1"/>
    <xf numFmtId="1" fontId="3" fillId="8" borderId="0" xfId="0" applyNumberFormat="1" applyFont="1" applyFill="1" applyBorder="1"/>
    <xf numFmtId="0" fontId="15" fillId="0" borderId="0" xfId="0" applyFont="1" applyBorder="1"/>
    <xf numFmtId="0" fontId="16" fillId="8" borderId="0" xfId="0" applyFont="1" applyFill="1" applyBorder="1"/>
    <xf numFmtId="1" fontId="8" fillId="8" borderId="0" xfId="0" applyNumberFormat="1" applyFont="1" applyFill="1" applyBorder="1"/>
    <xf numFmtId="0" fontId="18" fillId="0" borderId="0" xfId="0" applyFont="1" applyBorder="1"/>
    <xf numFmtId="1" fontId="3" fillId="0" borderId="0" xfId="0" applyNumberFormat="1" applyFont="1" applyBorder="1"/>
    <xf numFmtId="0" fontId="7" fillId="0" borderId="0" xfId="0" applyFont="1" applyBorder="1"/>
    <xf numFmtId="41" fontId="10" fillId="0" borderId="15" xfId="0" applyNumberFormat="1" applyFont="1" applyFill="1" applyBorder="1" applyAlignment="1">
      <alignment vertical="center"/>
    </xf>
    <xf numFmtId="41" fontId="9" fillId="0" borderId="15" xfId="0" applyNumberFormat="1" applyFont="1" applyFill="1" applyBorder="1" applyAlignment="1">
      <alignment horizontal="center" vertical="center"/>
    </xf>
    <xf numFmtId="41" fontId="20" fillId="0" borderId="0" xfId="1" applyNumberFormat="1" applyFont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0" fontId="24" fillId="12" borderId="9" xfId="0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 wrapText="1"/>
    </xf>
    <xf numFmtId="0" fontId="23" fillId="12" borderId="2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6" xfId="0" applyFont="1" applyFill="1" applyBorder="1" applyAlignment="1">
      <alignment horizontal="center" vertical="center"/>
    </xf>
    <xf numFmtId="0" fontId="24" fillId="12" borderId="9" xfId="0" applyFont="1" applyFill="1" applyBorder="1" applyAlignment="1">
      <alignment horizontal="center" vertical="center" wrapText="1"/>
    </xf>
    <xf numFmtId="0" fontId="25" fillId="6" borderId="13" xfId="0" applyFont="1" applyFill="1" applyBorder="1" applyAlignment="1">
      <alignment horizontal="center" vertical="center"/>
    </xf>
    <xf numFmtId="0" fontId="23" fillId="6" borderId="12" xfId="0" applyFont="1" applyFill="1" applyBorder="1" applyAlignment="1">
      <alignment horizontal="center" vertical="center"/>
    </xf>
    <xf numFmtId="0" fontId="25" fillId="6" borderId="2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3" fillId="6" borderId="6" xfId="0" applyFont="1" applyFill="1" applyBorder="1" applyAlignment="1">
      <alignment horizontal="center" vertical="center"/>
    </xf>
    <xf numFmtId="0" fontId="26" fillId="6" borderId="13" xfId="0" applyFont="1" applyFill="1" applyBorder="1" applyAlignment="1">
      <alignment horizontal="center" vertical="center" wrapText="1"/>
    </xf>
    <xf numFmtId="0" fontId="23" fillId="6" borderId="11" xfId="0" applyFont="1" applyFill="1" applyBorder="1" applyAlignment="1">
      <alignment horizontal="center" vertical="center"/>
    </xf>
    <xf numFmtId="0" fontId="23" fillId="7" borderId="13" xfId="0" applyFont="1" applyFill="1" applyBorder="1" applyAlignment="1">
      <alignment horizontal="center" vertical="center"/>
    </xf>
    <xf numFmtId="0" fontId="23" fillId="7" borderId="12" xfId="0" applyFont="1" applyFill="1" applyBorder="1" applyAlignment="1">
      <alignment horizontal="center" vertical="center"/>
    </xf>
    <xf numFmtId="0" fontId="23" fillId="7" borderId="11" xfId="0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23" fillId="7" borderId="4" xfId="0" applyFont="1" applyFill="1" applyBorder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 wrapText="1"/>
    </xf>
    <xf numFmtId="172" fontId="24" fillId="2" borderId="1" xfId="0" applyNumberFormat="1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/>
    </xf>
    <xf numFmtId="173" fontId="24" fillId="2" borderId="1" xfId="0" applyNumberFormat="1" applyFont="1" applyFill="1" applyBorder="1" applyAlignment="1">
      <alignment horizontal="center" vertical="center"/>
    </xf>
    <xf numFmtId="173" fontId="24" fillId="2" borderId="1" xfId="0" applyNumberFormat="1" applyFont="1" applyFill="1" applyBorder="1" applyAlignment="1">
      <alignment horizontal="center" vertical="center" wrapText="1"/>
    </xf>
    <xf numFmtId="1" fontId="24" fillId="0" borderId="8" xfId="0" applyNumberFormat="1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1" fontId="24" fillId="0" borderId="11" xfId="0" applyNumberFormat="1" applyFont="1" applyBorder="1" applyAlignment="1">
      <alignment horizontal="center" vertical="center"/>
    </xf>
    <xf numFmtId="1" fontId="23" fillId="0" borderId="13" xfId="0" applyNumberFormat="1" applyFont="1" applyBorder="1" applyAlignment="1">
      <alignment horizontal="center" vertical="center"/>
    </xf>
    <xf numFmtId="1" fontId="23" fillId="0" borderId="12" xfId="0" applyNumberFormat="1" applyFont="1" applyBorder="1" applyAlignment="1">
      <alignment horizontal="center" vertical="center"/>
    </xf>
    <xf numFmtId="1" fontId="23" fillId="0" borderId="11" xfId="0" applyNumberFormat="1" applyFont="1" applyBorder="1" applyAlignment="1">
      <alignment horizontal="center" vertical="center"/>
    </xf>
    <xf numFmtId="1" fontId="23" fillId="0" borderId="3" xfId="0" applyNumberFormat="1" applyFont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" fontId="23" fillId="0" borderId="7" xfId="0" applyNumberFormat="1" applyFont="1" applyBorder="1" applyAlignment="1">
      <alignment horizontal="center" vertical="center"/>
    </xf>
    <xf numFmtId="1" fontId="24" fillId="0" borderId="5" xfId="0" applyNumberFormat="1" applyFont="1" applyBorder="1" applyAlignment="1">
      <alignment horizontal="center" vertical="center"/>
    </xf>
    <xf numFmtId="166" fontId="23" fillId="0" borderId="12" xfId="0" applyNumberFormat="1" applyFont="1" applyFill="1" applyBorder="1" applyAlignment="1">
      <alignment horizontal="center" vertical="center"/>
    </xf>
    <xf numFmtId="166" fontId="23" fillId="0" borderId="11" xfId="0" applyNumberFormat="1" applyFont="1" applyFill="1" applyBorder="1" applyAlignment="1">
      <alignment horizontal="center" vertical="center"/>
    </xf>
    <xf numFmtId="9" fontId="23" fillId="4" borderId="12" xfId="0" applyNumberFormat="1" applyFont="1" applyFill="1" applyBorder="1" applyAlignment="1">
      <alignment horizontal="center" vertical="center"/>
    </xf>
    <xf numFmtId="165" fontId="23" fillId="0" borderId="11" xfId="1" applyNumberFormat="1" applyFont="1" applyBorder="1" applyAlignment="1">
      <alignment horizontal="center" vertical="center"/>
    </xf>
    <xf numFmtId="9" fontId="23" fillId="0" borderId="12" xfId="0" applyNumberFormat="1" applyFont="1" applyBorder="1" applyAlignment="1">
      <alignment horizontal="center" vertical="center"/>
    </xf>
    <xf numFmtId="9" fontId="24" fillId="4" borderId="12" xfId="0" applyNumberFormat="1" applyFont="1" applyFill="1" applyBorder="1" applyAlignment="1">
      <alignment horizontal="center" vertical="center"/>
    </xf>
    <xf numFmtId="9" fontId="24" fillId="0" borderId="11" xfId="0" applyNumberFormat="1" applyFont="1" applyFill="1" applyBorder="1" applyAlignment="1">
      <alignment horizontal="center" vertical="center"/>
    </xf>
    <xf numFmtId="9" fontId="23" fillId="0" borderId="11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3" fillId="6" borderId="9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41" fontId="25" fillId="0" borderId="1" xfId="0" quotePrefix="1" applyNumberFormat="1" applyFont="1" applyFill="1" applyBorder="1" applyAlignment="1">
      <alignment horizontal="center" vertical="center"/>
    </xf>
    <xf numFmtId="1" fontId="24" fillId="2" borderId="1" xfId="0" applyNumberFormat="1" applyFont="1" applyFill="1" applyBorder="1" applyAlignment="1">
      <alignment horizontal="center" vertical="center" wrapText="1"/>
    </xf>
    <xf numFmtId="1" fontId="24" fillId="0" borderId="1" xfId="0" applyNumberFormat="1" applyFont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9" fillId="0" borderId="0" xfId="0" applyFont="1" applyAlignment="1">
      <alignment wrapText="1"/>
    </xf>
    <xf numFmtId="0" fontId="23" fillId="2" borderId="12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1" fontId="9" fillId="0" borderId="9" xfId="0" applyNumberFormat="1" applyFont="1" applyFill="1" applyBorder="1" applyAlignment="1">
      <alignment horizontal="center" vertical="center"/>
    </xf>
    <xf numFmtId="1" fontId="9" fillId="0" borderId="15" xfId="0" applyNumberFormat="1" applyFont="1" applyFill="1" applyBorder="1" applyAlignment="1">
      <alignment horizontal="center" vertical="center"/>
    </xf>
    <xf numFmtId="1" fontId="9" fillId="0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1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3" fillId="5" borderId="9" xfId="0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 applyAlignment="1">
      <alignment horizontal="left" vertical="top"/>
    </xf>
    <xf numFmtId="0" fontId="0" fillId="0" borderId="1" xfId="0" applyFill="1" applyBorder="1" applyAlignment="1">
      <alignment horizontal="left" wrapText="1"/>
    </xf>
    <xf numFmtId="0" fontId="3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28" fillId="14" borderId="1" xfId="0" applyFont="1" applyFill="1" applyBorder="1" applyAlignment="1">
      <alignment horizontal="center" vertical="center"/>
    </xf>
    <xf numFmtId="0" fontId="28" fillId="14" borderId="1" xfId="0" applyFont="1" applyFill="1" applyBorder="1" applyAlignment="1">
      <alignment horizontal="center" vertical="center" wrapText="1"/>
    </xf>
    <xf numFmtId="180" fontId="28" fillId="14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vertical="center"/>
    </xf>
    <xf numFmtId="169" fontId="23" fillId="0" borderId="0" xfId="1" applyNumberFormat="1" applyFont="1" applyFill="1" applyBorder="1" applyAlignment="1">
      <alignment horizontal="center" vertical="center"/>
    </xf>
    <xf numFmtId="169" fontId="23" fillId="0" borderId="0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0" fontId="7" fillId="15" borderId="1" xfId="0" applyFont="1" applyFill="1" applyBorder="1" applyAlignment="1">
      <alignment horizontal="center"/>
    </xf>
    <xf numFmtId="0" fontId="7" fillId="15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9" fontId="23" fillId="0" borderId="1" xfId="0" applyNumberFormat="1" applyFont="1" applyFill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69" fontId="9" fillId="0" borderId="1" xfId="0" applyNumberFormat="1" applyFont="1" applyBorder="1" applyAlignment="1">
      <alignment horizontal="center" vertical="center"/>
    </xf>
    <xf numFmtId="182" fontId="9" fillId="0" borderId="0" xfId="0" applyNumberFormat="1" applyFont="1"/>
    <xf numFmtId="0" fontId="25" fillId="0" borderId="9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" fontId="0" fillId="0" borderId="0" xfId="0" applyNumberFormat="1"/>
    <xf numFmtId="9" fontId="23" fillId="4" borderId="10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4" fontId="9" fillId="0" borderId="3" xfId="1" applyNumberFormat="1" applyFont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1" fontId="23" fillId="0" borderId="5" xfId="0" applyNumberFormat="1" applyFont="1" applyBorder="1" applyAlignment="1">
      <alignment horizontal="center" vertical="center"/>
    </xf>
    <xf numFmtId="1" fontId="23" fillId="0" borderId="8" xfId="0" applyNumberFormat="1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4" xfId="0" applyFont="1" applyFill="1" applyBorder="1" applyAlignment="1">
      <alignment horizontal="center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0" xfId="0" applyFont="1" applyFill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/>
    </xf>
    <xf numFmtId="0" fontId="9" fillId="0" borderId="1" xfId="0" applyFont="1" applyBorder="1"/>
    <xf numFmtId="0" fontId="9" fillId="0" borderId="9" xfId="0" applyFont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81" fontId="9" fillId="0" borderId="0" xfId="0" applyNumberFormat="1" applyFont="1" applyAlignment="1">
      <alignment horizontal="center" vertical="center"/>
    </xf>
    <xf numFmtId="1" fontId="23" fillId="0" borderId="13" xfId="0" applyNumberFormat="1" applyFont="1" applyFill="1" applyBorder="1" applyAlignment="1">
      <alignment horizontal="center" vertical="center"/>
    </xf>
    <xf numFmtId="1" fontId="23" fillId="0" borderId="12" xfId="0" applyNumberFormat="1" applyFont="1" applyFill="1" applyBorder="1" applyAlignment="1">
      <alignment horizontal="center" vertical="center"/>
    </xf>
    <xf numFmtId="1" fontId="23" fillId="0" borderId="11" xfId="0" applyNumberFormat="1" applyFont="1" applyFill="1" applyBorder="1" applyAlignment="1">
      <alignment horizontal="center" vertical="center"/>
    </xf>
    <xf numFmtId="0" fontId="9" fillId="0" borderId="4" xfId="0" applyFont="1" applyBorder="1"/>
    <xf numFmtId="165" fontId="9" fillId="0" borderId="0" xfId="0" applyNumberFormat="1" applyFont="1" applyAlignment="1">
      <alignment horizontal="center" vertical="center"/>
    </xf>
    <xf numFmtId="0" fontId="9" fillId="0" borderId="2" xfId="0" applyFont="1" applyBorder="1"/>
    <xf numFmtId="0" fontId="9" fillId="0" borderId="3" xfId="0" applyFont="1" applyBorder="1"/>
    <xf numFmtId="0" fontId="9" fillId="0" borderId="0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 vertical="center"/>
    </xf>
    <xf numFmtId="0" fontId="29" fillId="0" borderId="0" xfId="0" applyFont="1" applyFill="1"/>
    <xf numFmtId="0" fontId="9" fillId="0" borderId="3" xfId="0" applyNumberFormat="1" applyFont="1" applyBorder="1"/>
    <xf numFmtId="0" fontId="9" fillId="0" borderId="13" xfId="0" applyFont="1" applyBorder="1"/>
    <xf numFmtId="1" fontId="9" fillId="0" borderId="1" xfId="0" applyNumberFormat="1" applyFont="1" applyBorder="1"/>
    <xf numFmtId="0" fontId="9" fillId="0" borderId="14" xfId="0" applyFont="1" applyBorder="1" applyAlignment="1">
      <alignment horizontal="center" vertical="center"/>
    </xf>
    <xf numFmtId="0" fontId="9" fillId="0" borderId="8" xfId="0" applyFont="1" applyBorder="1"/>
    <xf numFmtId="0" fontId="9" fillId="0" borderId="14" xfId="0" applyFont="1" applyBorder="1"/>
    <xf numFmtId="165" fontId="0" fillId="0" borderId="0" xfId="0" applyNumberFormat="1"/>
    <xf numFmtId="168" fontId="9" fillId="0" borderId="1" xfId="1" applyNumberFormat="1" applyFont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29" fillId="0" borderId="1" xfId="0" applyNumberFormat="1" applyFont="1" applyFill="1" applyBorder="1"/>
    <xf numFmtId="1" fontId="24" fillId="0" borderId="14" xfId="0" applyNumberFormat="1" applyFont="1" applyBorder="1" applyAlignment="1">
      <alignment horizontal="center" vertical="center"/>
    </xf>
    <xf numFmtId="165" fontId="9" fillId="0" borderId="0" xfId="0" applyNumberFormat="1" applyFont="1"/>
    <xf numFmtId="171" fontId="9" fillId="0" borderId="1" xfId="1" applyNumberFormat="1" applyFont="1" applyBorder="1" applyAlignment="1">
      <alignment horizontal="center" vertical="center"/>
    </xf>
    <xf numFmtId="1" fontId="9" fillId="0" borderId="2" xfId="0" applyNumberFormat="1" applyFont="1" applyBorder="1"/>
    <xf numFmtId="0" fontId="0" fillId="0" borderId="13" xfId="0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30" fillId="0" borderId="1" xfId="0" applyFont="1" applyBorder="1"/>
    <xf numFmtId="0" fontId="31" fillId="0" borderId="1" xfId="0" applyFont="1" applyBorder="1"/>
    <xf numFmtId="0" fontId="23" fillId="0" borderId="0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5" fillId="14" borderId="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5" fillId="14" borderId="9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170" fontId="0" fillId="0" borderId="1" xfId="1" applyNumberFormat="1" applyFont="1" applyBorder="1" applyAlignment="1">
      <alignment horizontal="center" vertical="center"/>
    </xf>
    <xf numFmtId="171" fontId="23" fillId="2" borderId="1" xfId="1" applyNumberFormat="1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2" fontId="0" fillId="0" borderId="0" xfId="0" applyNumberFormat="1"/>
    <xf numFmtId="0" fontId="0" fillId="0" borderId="9" xfId="0" applyBorder="1"/>
    <xf numFmtId="0" fontId="0" fillId="0" borderId="15" xfId="0" applyBorder="1"/>
    <xf numFmtId="0" fontId="28" fillId="13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ont="1" applyFill="1" applyBorder="1"/>
    <xf numFmtId="181" fontId="0" fillId="0" borderId="1" xfId="0" applyNumberFormat="1" applyBorder="1"/>
    <xf numFmtId="1" fontId="0" fillId="0" borderId="1" xfId="0" applyNumberFormat="1" applyBorder="1"/>
    <xf numFmtId="0" fontId="28" fillId="0" borderId="0" xfId="0" applyFont="1" applyAlignment="1">
      <alignment horizontal="center" vertical="center" wrapText="1"/>
    </xf>
    <xf numFmtId="180" fontId="28" fillId="14" borderId="9" xfId="0" applyNumberFormat="1" applyFont="1" applyFill="1" applyBorder="1" applyAlignment="1">
      <alignment horizontal="center" vertical="center"/>
    </xf>
    <xf numFmtId="180" fontId="0" fillId="0" borderId="4" xfId="0" applyNumberFormat="1" applyFill="1" applyBorder="1"/>
    <xf numFmtId="0" fontId="0" fillId="0" borderId="4" xfId="0" applyFill="1" applyBorder="1"/>
    <xf numFmtId="180" fontId="28" fillId="0" borderId="12" xfId="0" applyNumberFormat="1" applyFont="1" applyFill="1" applyBorder="1" applyAlignment="1">
      <alignment horizontal="center" vertical="center"/>
    </xf>
    <xf numFmtId="180" fontId="0" fillId="0" borderId="12" xfId="0" applyNumberFormat="1" applyFill="1" applyBorder="1"/>
    <xf numFmtId="0" fontId="0" fillId="0" borderId="12" xfId="0" applyFill="1" applyBorder="1"/>
    <xf numFmtId="0" fontId="32" fillId="0" borderId="13" xfId="0" applyFont="1" applyFill="1" applyBorder="1" applyAlignment="1">
      <alignment horizontal="center" vertical="center" wrapText="1"/>
    </xf>
    <xf numFmtId="1" fontId="24" fillId="0" borderId="12" xfId="0" applyNumberFormat="1" applyFont="1" applyFill="1" applyBorder="1" applyAlignment="1">
      <alignment horizontal="center" vertical="center"/>
    </xf>
    <xf numFmtId="1" fontId="24" fillId="0" borderId="5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1" xfId="0" applyFill="1" applyBorder="1"/>
    <xf numFmtId="0" fontId="28" fillId="3" borderId="9" xfId="0" applyFont="1" applyFill="1" applyBorder="1" applyAlignment="1">
      <alignment vertical="center"/>
    </xf>
    <xf numFmtId="0" fontId="28" fillId="3" borderId="15" xfId="0" applyFont="1" applyFill="1" applyBorder="1" applyAlignment="1">
      <alignment vertical="center"/>
    </xf>
    <xf numFmtId="0" fontId="28" fillId="3" borderId="10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9" xfId="0" applyFont="1" applyFill="1" applyBorder="1"/>
    <xf numFmtId="0" fontId="0" fillId="0" borderId="2" xfId="0" applyFont="1" applyFill="1" applyBorder="1"/>
    <xf numFmtId="0" fontId="0" fillId="0" borderId="4" xfId="0" applyFont="1" applyFill="1" applyBorder="1"/>
    <xf numFmtId="0" fontId="0" fillId="13" borderId="13" xfId="0" applyFill="1" applyBorder="1" applyAlignment="1">
      <alignment vertical="center"/>
    </xf>
    <xf numFmtId="0" fontId="0" fillId="13" borderId="11" xfId="0" applyFill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8" fillId="0" borderId="0" xfId="0" applyFont="1" applyFill="1" applyBorder="1" applyAlignment="1">
      <alignment vertical="center" wrapText="1"/>
    </xf>
    <xf numFmtId="0" fontId="28" fillId="0" borderId="0" xfId="0" applyFont="1" applyFill="1" applyBorder="1" applyAlignment="1">
      <alignment horizontal="center" vertical="center" wrapText="1"/>
    </xf>
    <xf numFmtId="1" fontId="0" fillId="0" borderId="9" xfId="0" applyNumberFormat="1" applyBorder="1"/>
    <xf numFmtId="0" fontId="28" fillId="14" borderId="1" xfId="0" applyFont="1" applyFill="1" applyBorder="1" applyAlignment="1">
      <alignment horizontal="center" vertical="top" wrapText="1"/>
    </xf>
    <xf numFmtId="178" fontId="23" fillId="0" borderId="1" xfId="0" applyNumberFormat="1" applyFont="1" applyBorder="1" applyAlignment="1">
      <alignment horizontal="center" vertical="center"/>
    </xf>
    <xf numFmtId="171" fontId="9" fillId="0" borderId="5" xfId="1" applyNumberFormat="1" applyFont="1" applyBorder="1" applyAlignment="1">
      <alignment horizontal="center" vertical="center"/>
    </xf>
    <xf numFmtId="171" fontId="9" fillId="0" borderId="5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0" fontId="25" fillId="0" borderId="9" xfId="0" applyFont="1" applyFill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/>
    </xf>
    <xf numFmtId="41" fontId="25" fillId="0" borderId="10" xfId="0" applyNumberFormat="1" applyFont="1" applyFill="1" applyBorder="1" applyAlignment="1">
      <alignment horizontal="center" vertical="center"/>
    </xf>
    <xf numFmtId="0" fontId="30" fillId="0" borderId="11" xfId="0" applyFont="1" applyBorder="1"/>
    <xf numFmtId="0" fontId="9" fillId="0" borderId="11" xfId="0" applyFont="1" applyBorder="1"/>
    <xf numFmtId="0" fontId="30" fillId="0" borderId="0" xfId="0" applyFont="1" applyBorder="1"/>
    <xf numFmtId="9" fontId="30" fillId="0" borderId="0" xfId="0" applyNumberFormat="1" applyFont="1" applyFill="1" applyBorder="1"/>
    <xf numFmtId="9" fontId="30" fillId="0" borderId="7" xfId="0" applyNumberFormat="1" applyFont="1" applyFill="1" applyBorder="1"/>
    <xf numFmtId="0" fontId="30" fillId="0" borderId="8" xfId="0" applyFont="1" applyBorder="1"/>
    <xf numFmtId="0" fontId="25" fillId="0" borderId="9" xfId="0" applyFont="1" applyFill="1" applyBorder="1" applyAlignment="1">
      <alignment horizontal="center" vertical="center" wrapText="1"/>
    </xf>
    <xf numFmtId="9" fontId="23" fillId="0" borderId="1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8" fontId="30" fillId="0" borderId="1" xfId="1" applyNumberFormat="1" applyFont="1" applyBorder="1" applyAlignment="1">
      <alignment horizontal="center" vertical="center"/>
    </xf>
    <xf numFmtId="168" fontId="30" fillId="0" borderId="9" xfId="1" applyNumberFormat="1" applyFont="1" applyBorder="1" applyAlignment="1">
      <alignment horizontal="center" vertical="center"/>
    </xf>
    <xf numFmtId="168" fontId="30" fillId="0" borderId="13" xfId="1" applyNumberFormat="1" applyFont="1" applyBorder="1" applyAlignment="1">
      <alignment horizontal="center" vertical="center"/>
    </xf>
    <xf numFmtId="168" fontId="30" fillId="0" borderId="2" xfId="1" applyNumberFormat="1" applyFont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30" fillId="0" borderId="9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186" fontId="0" fillId="0" borderId="1" xfId="1" applyNumberFormat="1" applyFont="1" applyBorder="1"/>
    <xf numFmtId="0" fontId="9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5" fillId="0" borderId="0" xfId="0" applyFont="1" applyAlignment="1"/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/>
    <xf numFmtId="0" fontId="15" fillId="0" borderId="1" xfId="0" applyFont="1" applyBorder="1" applyAlignment="1">
      <alignment horizontal="center" vertical="center"/>
    </xf>
    <xf numFmtId="178" fontId="15" fillId="0" borderId="1" xfId="0" applyNumberFormat="1" applyFont="1" applyBorder="1" applyAlignment="1">
      <alignment horizontal="center" vertical="center"/>
    </xf>
    <xf numFmtId="176" fontId="15" fillId="0" borderId="1" xfId="1" applyNumberFormat="1" applyFont="1" applyBorder="1" applyAlignment="1">
      <alignment horizontal="center" vertical="center"/>
    </xf>
    <xf numFmtId="0" fontId="15" fillId="0" borderId="1" xfId="0" applyFont="1" applyBorder="1"/>
    <xf numFmtId="1" fontId="15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" fontId="15" fillId="0" borderId="0" xfId="0" applyNumberFormat="1" applyFont="1"/>
    <xf numFmtId="0" fontId="14" fillId="0" borderId="8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4" fillId="0" borderId="0" xfId="0" applyFont="1"/>
    <xf numFmtId="0" fontId="34" fillId="0" borderId="1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4" xfId="0" applyFont="1" applyFill="1" applyBorder="1"/>
    <xf numFmtId="0" fontId="34" fillId="0" borderId="1" xfId="0" applyFont="1" applyBorder="1"/>
    <xf numFmtId="0" fontId="34" fillId="0" borderId="4" xfId="0" applyFont="1" applyFill="1" applyBorder="1"/>
    <xf numFmtId="0" fontId="34" fillId="0" borderId="9" xfId="0" applyFont="1" applyBorder="1"/>
    <xf numFmtId="1" fontId="34" fillId="0" borderId="0" xfId="0" applyNumberFormat="1" applyFont="1" applyAlignment="1">
      <alignment horizontal="center" vertical="center"/>
    </xf>
    <xf numFmtId="1" fontId="34" fillId="0" borderId="0" xfId="0" applyNumberFormat="1" applyFont="1"/>
    <xf numFmtId="183" fontId="34" fillId="0" borderId="0" xfId="0" applyNumberFormat="1" applyFont="1" applyAlignment="1">
      <alignment horizontal="center" vertical="center"/>
    </xf>
    <xf numFmtId="1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/>
    <xf numFmtId="0" fontId="33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2" fontId="15" fillId="0" borderId="9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1" fontId="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9" fontId="23" fillId="4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23" fillId="0" borderId="9" xfId="1" applyNumberFormat="1" applyFont="1" applyBorder="1" applyAlignment="1">
      <alignment horizontal="center" vertical="center"/>
    </xf>
    <xf numFmtId="164" fontId="23" fillId="0" borderId="10" xfId="1" applyNumberFormat="1" applyFont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71" fontId="23" fillId="0" borderId="1" xfId="1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" fontId="23" fillId="0" borderId="9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/>
    </xf>
    <xf numFmtId="0" fontId="23" fillId="0" borderId="10" xfId="0" applyFont="1" applyFill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/>
    </xf>
    <xf numFmtId="166" fontId="23" fillId="0" borderId="6" xfId="0" applyNumberFormat="1" applyFont="1" applyFill="1" applyBorder="1" applyAlignment="1">
      <alignment horizontal="center" vertical="center"/>
    </xf>
    <xf numFmtId="166" fontId="23" fillId="0" borderId="8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0" xfId="0" applyFill="1" applyBorder="1" applyAlignment="1">
      <alignment horizontal="center" vertical="center"/>
    </xf>
    <xf numFmtId="185" fontId="23" fillId="0" borderId="9" xfId="1" applyNumberFormat="1" applyFont="1" applyBorder="1" applyAlignment="1">
      <alignment horizontal="center" vertical="center"/>
    </xf>
    <xf numFmtId="185" fontId="23" fillId="0" borderId="10" xfId="1" applyNumberFormat="1" applyFont="1" applyBorder="1" applyAlignment="1">
      <alignment horizontal="center" vertical="center"/>
    </xf>
    <xf numFmtId="0" fontId="23" fillId="4" borderId="9" xfId="0" applyFont="1" applyFill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center"/>
    </xf>
    <xf numFmtId="0" fontId="23" fillId="4" borderId="10" xfId="0" applyFont="1" applyFill="1" applyBorder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0" fontId="24" fillId="4" borderId="10" xfId="0" applyFont="1" applyFill="1" applyBorder="1" applyAlignment="1">
      <alignment horizontal="center" vertical="center"/>
    </xf>
    <xf numFmtId="0" fontId="23" fillId="12" borderId="13" xfId="0" applyFont="1" applyFill="1" applyBorder="1" applyAlignment="1">
      <alignment horizontal="center" vertical="center" wrapText="1"/>
    </xf>
    <xf numFmtId="0" fontId="23" fillId="12" borderId="12" xfId="0" applyFont="1" applyFill="1" applyBorder="1" applyAlignment="1">
      <alignment horizontal="center" vertical="center" wrapText="1"/>
    </xf>
    <xf numFmtId="0" fontId="23" fillId="12" borderId="11" xfId="0" applyFont="1" applyFill="1" applyBorder="1" applyAlignment="1">
      <alignment horizontal="center" vertical="center" wrapText="1"/>
    </xf>
    <xf numFmtId="9" fontId="23" fillId="4" borderId="9" xfId="0" applyNumberFormat="1" applyFont="1" applyFill="1" applyBorder="1" applyAlignment="1">
      <alignment horizontal="center" vertical="center"/>
    </xf>
    <xf numFmtId="9" fontId="23" fillId="4" borderId="15" xfId="0" applyNumberFormat="1" applyFont="1" applyFill="1" applyBorder="1" applyAlignment="1">
      <alignment horizontal="center" vertical="center"/>
    </xf>
    <xf numFmtId="9" fontId="23" fillId="4" borderId="10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27" fillId="5" borderId="7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1" fontId="9" fillId="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7" borderId="13" xfId="0" applyFont="1" applyFill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1" fontId="9" fillId="0" borderId="9" xfId="0" applyNumberFormat="1" applyFont="1" applyFill="1" applyBorder="1" applyAlignment="1">
      <alignment horizontal="center" vertical="center"/>
    </xf>
    <xf numFmtId="1" fontId="9" fillId="0" borderId="15" xfId="0" applyNumberFormat="1" applyFont="1" applyFill="1" applyBorder="1" applyAlignment="1">
      <alignment horizontal="center" vertical="center"/>
    </xf>
    <xf numFmtId="1" fontId="9" fillId="0" borderId="10" xfId="0" applyNumberFormat="1" applyFont="1" applyFill="1" applyBorder="1" applyAlignment="1">
      <alignment horizontal="center" vertical="center"/>
    </xf>
    <xf numFmtId="164" fontId="23" fillId="4" borderId="9" xfId="0" applyNumberFormat="1" applyFont="1" applyFill="1" applyBorder="1" applyAlignment="1">
      <alignment horizontal="center" vertical="center"/>
    </xf>
    <xf numFmtId="164" fontId="23" fillId="4" borderId="15" xfId="0" applyNumberFormat="1" applyFont="1" applyFill="1" applyBorder="1" applyAlignment="1">
      <alignment horizontal="center" vertical="center"/>
    </xf>
    <xf numFmtId="164" fontId="23" fillId="4" borderId="10" xfId="0" applyNumberFormat="1" applyFont="1" applyFill="1" applyBorder="1" applyAlignment="1">
      <alignment horizontal="center" vertical="center"/>
    </xf>
    <xf numFmtId="179" fontId="23" fillId="3" borderId="9" xfId="1" applyNumberFormat="1" applyFont="1" applyFill="1" applyBorder="1" applyAlignment="1">
      <alignment horizontal="center" vertical="center"/>
    </xf>
    <xf numFmtId="179" fontId="23" fillId="3" borderId="15" xfId="1" applyNumberFormat="1" applyFont="1" applyFill="1" applyBorder="1" applyAlignment="1">
      <alignment horizontal="center" vertical="center"/>
    </xf>
    <xf numFmtId="179" fontId="23" fillId="3" borderId="10" xfId="1" applyNumberFormat="1" applyFont="1" applyFill="1" applyBorder="1" applyAlignment="1">
      <alignment horizontal="center" vertical="center"/>
    </xf>
    <xf numFmtId="0" fontId="25" fillId="0" borderId="9" xfId="0" applyFont="1" applyFill="1" applyBorder="1" applyAlignment="1">
      <alignment horizontal="center" vertical="center" wrapText="1"/>
    </xf>
    <xf numFmtId="0" fontId="25" fillId="0" borderId="10" xfId="0" applyFont="1" applyFill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4" fillId="12" borderId="13" xfId="0" applyFont="1" applyFill="1" applyBorder="1" applyAlignment="1">
      <alignment horizontal="center" vertical="center" wrapText="1"/>
    </xf>
    <xf numFmtId="0" fontId="24" fillId="12" borderId="11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23" fillId="0" borderId="2" xfId="0" applyNumberFormat="1" applyFont="1" applyFill="1" applyBorder="1" applyAlignment="1">
      <alignment horizontal="center" vertical="center"/>
    </xf>
    <xf numFmtId="166" fontId="23" fillId="0" borderId="14" xfId="0" applyNumberFormat="1" applyFont="1" applyFill="1" applyBorder="1" applyAlignment="1">
      <alignment horizontal="center" vertical="center"/>
    </xf>
    <xf numFmtId="41" fontId="23" fillId="6" borderId="13" xfId="0" applyNumberFormat="1" applyFont="1" applyFill="1" applyBorder="1" applyAlignment="1">
      <alignment horizontal="center" vertical="center" wrapText="1"/>
    </xf>
    <xf numFmtId="41" fontId="23" fillId="6" borderId="12" xfId="0" applyNumberFormat="1" applyFont="1" applyFill="1" applyBorder="1" applyAlignment="1">
      <alignment horizontal="center" vertical="center" wrapText="1"/>
    </xf>
    <xf numFmtId="41" fontId="23" fillId="6" borderId="11" xfId="0" applyNumberFormat="1" applyFont="1" applyFill="1" applyBorder="1" applyAlignment="1">
      <alignment horizontal="center" vertical="center" wrapText="1"/>
    </xf>
    <xf numFmtId="41" fontId="24" fillId="6" borderId="13" xfId="0" applyNumberFormat="1" applyFont="1" applyFill="1" applyBorder="1" applyAlignment="1">
      <alignment horizontal="center" vertical="center" wrapText="1"/>
    </xf>
    <xf numFmtId="41" fontId="24" fillId="6" borderId="12" xfId="0" applyNumberFormat="1" applyFont="1" applyFill="1" applyBorder="1" applyAlignment="1">
      <alignment horizontal="center" vertical="center" wrapText="1"/>
    </xf>
    <xf numFmtId="41" fontId="24" fillId="6" borderId="11" xfId="0" applyNumberFormat="1" applyFont="1" applyFill="1" applyBorder="1" applyAlignment="1">
      <alignment horizontal="center" vertical="center" wrapText="1"/>
    </xf>
    <xf numFmtId="41" fontId="25" fillId="0" borderId="9" xfId="0" applyNumberFormat="1" applyFont="1" applyFill="1" applyBorder="1" applyAlignment="1">
      <alignment horizontal="center" vertical="center"/>
    </xf>
    <xf numFmtId="41" fontId="25" fillId="0" borderId="10" xfId="0" applyNumberFormat="1" applyFont="1" applyFill="1" applyBorder="1" applyAlignment="1">
      <alignment horizontal="center" vertical="center"/>
    </xf>
    <xf numFmtId="178" fontId="23" fillId="0" borderId="9" xfId="0" applyNumberFormat="1" applyFont="1" applyFill="1" applyBorder="1" applyAlignment="1">
      <alignment horizontal="center" vertical="center"/>
    </xf>
    <xf numFmtId="178" fontId="23" fillId="0" borderId="15" xfId="0" applyNumberFormat="1" applyFont="1" applyFill="1" applyBorder="1" applyAlignment="1">
      <alignment horizontal="center" vertical="center"/>
    </xf>
    <xf numFmtId="178" fontId="23" fillId="0" borderId="10" xfId="0" applyNumberFormat="1" applyFont="1" applyFill="1" applyBorder="1" applyAlignment="1">
      <alignment horizontal="center" vertical="center"/>
    </xf>
    <xf numFmtId="170" fontId="23" fillId="0" borderId="9" xfId="0" applyNumberFormat="1" applyFont="1" applyFill="1" applyBorder="1" applyAlignment="1">
      <alignment horizontal="center" vertical="center"/>
    </xf>
    <xf numFmtId="170" fontId="23" fillId="0" borderId="15" xfId="0" applyNumberFormat="1" applyFont="1" applyFill="1" applyBorder="1" applyAlignment="1">
      <alignment horizontal="center" vertical="center"/>
    </xf>
    <xf numFmtId="170" fontId="23" fillId="0" borderId="10" xfId="0" applyNumberFormat="1" applyFont="1" applyFill="1" applyBorder="1" applyAlignment="1">
      <alignment horizontal="center" vertical="center"/>
    </xf>
    <xf numFmtId="184" fontId="23" fillId="0" borderId="9" xfId="0" applyNumberFormat="1" applyFont="1" applyFill="1" applyBorder="1" applyAlignment="1">
      <alignment horizontal="center" vertical="center"/>
    </xf>
    <xf numFmtId="184" fontId="23" fillId="0" borderId="15" xfId="0" applyNumberFormat="1" applyFont="1" applyFill="1" applyBorder="1" applyAlignment="1">
      <alignment horizontal="center" vertical="center"/>
    </xf>
    <xf numFmtId="184" fontId="23" fillId="0" borderId="10" xfId="0" applyNumberFormat="1" applyFont="1" applyFill="1" applyBorder="1" applyAlignment="1">
      <alignment horizontal="center" vertical="center"/>
    </xf>
    <xf numFmtId="0" fontId="23" fillId="6" borderId="13" xfId="0" applyFont="1" applyFill="1" applyBorder="1" applyAlignment="1">
      <alignment horizontal="center" vertical="center"/>
    </xf>
    <xf numFmtId="0" fontId="23" fillId="6" borderId="12" xfId="0" applyFont="1" applyFill="1" applyBorder="1" applyAlignment="1">
      <alignment horizontal="center" vertical="center"/>
    </xf>
    <xf numFmtId="0" fontId="23" fillId="6" borderId="11" xfId="0" applyFont="1" applyFill="1" applyBorder="1" applyAlignment="1">
      <alignment horizontal="center" vertical="center"/>
    </xf>
    <xf numFmtId="185" fontId="23" fillId="0" borderId="9" xfId="1" applyNumberFormat="1" applyFont="1" applyFill="1" applyBorder="1" applyAlignment="1">
      <alignment horizontal="center" vertical="center"/>
    </xf>
    <xf numFmtId="185" fontId="23" fillId="0" borderId="15" xfId="1" applyNumberFormat="1" applyFont="1" applyFill="1" applyBorder="1" applyAlignment="1">
      <alignment horizontal="center" vertical="center"/>
    </xf>
    <xf numFmtId="185" fontId="23" fillId="0" borderId="10" xfId="1" applyNumberFormat="1" applyFont="1" applyFill="1" applyBorder="1" applyAlignment="1">
      <alignment horizontal="center" vertical="center"/>
    </xf>
    <xf numFmtId="175" fontId="23" fillId="0" borderId="9" xfId="1" applyNumberFormat="1" applyFont="1" applyFill="1" applyBorder="1" applyAlignment="1">
      <alignment horizontal="center" vertical="center"/>
    </xf>
    <xf numFmtId="175" fontId="23" fillId="0" borderId="15" xfId="1" applyNumberFormat="1" applyFont="1" applyFill="1" applyBorder="1" applyAlignment="1">
      <alignment horizontal="center" vertical="center"/>
    </xf>
    <xf numFmtId="175" fontId="23" fillId="0" borderId="10" xfId="1" applyNumberFormat="1" applyFont="1" applyFill="1" applyBorder="1" applyAlignment="1">
      <alignment horizontal="center" vertical="center"/>
    </xf>
    <xf numFmtId="1" fontId="23" fillId="0" borderId="15" xfId="0" applyNumberFormat="1" applyFont="1" applyFill="1" applyBorder="1" applyAlignment="1">
      <alignment horizontal="center" vertical="center"/>
    </xf>
    <xf numFmtId="1" fontId="23" fillId="0" borderId="10" xfId="0" applyNumberFormat="1" applyFont="1" applyFill="1" applyBorder="1" applyAlignment="1">
      <alignment horizontal="center" vertical="center"/>
    </xf>
    <xf numFmtId="1" fontId="23" fillId="0" borderId="9" xfId="0" applyNumberFormat="1" applyFont="1" applyBorder="1" applyAlignment="1">
      <alignment horizontal="center" vertical="center"/>
    </xf>
    <xf numFmtId="1" fontId="23" fillId="0" borderId="15" xfId="0" applyNumberFormat="1" applyFont="1" applyBorder="1" applyAlignment="1">
      <alignment horizontal="center" vertical="center"/>
    </xf>
    <xf numFmtId="1" fontId="23" fillId="0" borderId="10" xfId="0" applyNumberFormat="1" applyFont="1" applyBorder="1" applyAlignment="1">
      <alignment horizontal="center" vertical="center"/>
    </xf>
    <xf numFmtId="164" fontId="23" fillId="0" borderId="9" xfId="0" applyNumberFormat="1" applyFont="1" applyBorder="1" applyAlignment="1">
      <alignment horizontal="center" vertical="center"/>
    </xf>
    <xf numFmtId="164" fontId="23" fillId="0" borderId="15" xfId="0" applyNumberFormat="1" applyFont="1" applyBorder="1" applyAlignment="1">
      <alignment horizontal="center" vertical="center"/>
    </xf>
    <xf numFmtId="164" fontId="23" fillId="0" borderId="10" xfId="0" applyNumberFormat="1" applyFont="1" applyBorder="1" applyAlignment="1">
      <alignment horizontal="center" vertical="center"/>
    </xf>
    <xf numFmtId="10" fontId="23" fillId="0" borderId="9" xfId="0" applyNumberFormat="1" applyFont="1" applyBorder="1" applyAlignment="1">
      <alignment horizontal="center" vertical="center"/>
    </xf>
    <xf numFmtId="10" fontId="23" fillId="0" borderId="15" xfId="0" applyNumberFormat="1" applyFont="1" applyBorder="1" applyAlignment="1">
      <alignment horizontal="center" vertical="center"/>
    </xf>
    <xf numFmtId="10" fontId="23" fillId="0" borderId="10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/>
    </xf>
    <xf numFmtId="0" fontId="7" fillId="1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15" borderId="1" xfId="0" applyFont="1" applyFill="1" applyBorder="1" applyAlignment="1">
      <alignment horizontal="center" vertical="center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1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15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28" fillId="13" borderId="13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0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7" xfId="0" applyFont="1" applyFill="1" applyBorder="1" applyAlignment="1">
      <alignment horizontal="center" vertical="center" wrapText="1"/>
    </xf>
    <xf numFmtId="0" fontId="28" fillId="13" borderId="8" xfId="0" applyFont="1" applyFill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12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Univers for KPMG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Univers for KPMG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Univers for KPMG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Univers for KPMG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Univers for KPMG"/>
        <scheme val="none"/>
      </font>
      <numFmt numFmtId="33" formatCode="_(* #,##0_);_(* \(#,##0\);_(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Univers for KPMG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Entry!$C$71:$F$71</c:f>
              <c:strCache>
                <c:ptCount val="4"/>
                <c:pt idx="0">
                  <c:v>Cost of cabs</c:v>
                </c:pt>
                <c:pt idx="1">
                  <c:v>Cost of EV Charging</c:v>
                </c:pt>
                <c:pt idx="2">
                  <c:v>Cost of Technology &amp; Manpower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EE1-4337-8984-E2F6E02B4F6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EE1-4337-8984-E2F6E02B4F6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EE1-4337-8984-E2F6E02B4F6A}"/>
              </c:ext>
            </c:extLst>
          </c:dPt>
          <c:dLbls>
            <c:dLbl>
              <c:idx val="1"/>
              <c:layout>
                <c:manualLayout>
                  <c:x val="-1.8307769397463345E-2"/>
                  <c:y val="6.1564386163791779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4EE1-4337-8984-E2F6E02B4F6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Entry!$C$71:$F$71</c15:sqref>
                  </c15:fullRef>
                </c:ext>
              </c:extLst>
              <c:f>Entry!$C$71:$E$71</c:f>
              <c:strCache>
                <c:ptCount val="3"/>
                <c:pt idx="0">
                  <c:v>Cost of cabs</c:v>
                </c:pt>
                <c:pt idx="1">
                  <c:v>Cost of EV Charging</c:v>
                </c:pt>
                <c:pt idx="2">
                  <c:v>Cost of Technology &amp; Manpower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Entry!$C$73:$F$73</c15:sqref>
                  </c15:fullRef>
                </c:ext>
              </c:extLst>
              <c:f>Entry!$C$73:$E$73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EE1-4337-8984-E2F6E02B4F6A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915401485029316E-2"/>
          <c:y val="0.75544491763432298"/>
          <c:w val="0.95016903434048949"/>
          <c:h val="0.22639684630860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Entry!$C$71:$F$71</c:f>
              <c:strCache>
                <c:ptCount val="4"/>
                <c:pt idx="0">
                  <c:v>Cost of cabs</c:v>
                </c:pt>
                <c:pt idx="1">
                  <c:v>Cost of EV Charging</c:v>
                </c:pt>
                <c:pt idx="2">
                  <c:v>Cost of Technology &amp; Manpower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839-42D6-A48D-ECF0B75CEEC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839-42D6-A48D-ECF0B75CEEC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839-42D6-A48D-ECF0B75CEECF}"/>
              </c:ext>
            </c:extLst>
          </c:dPt>
          <c:dLbls>
            <c:dLbl>
              <c:idx val="2"/>
              <c:layout>
                <c:manualLayout>
                  <c:x val="5.0786100351283434E-2"/>
                  <c:y val="-6.7066987688357003E-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D839-42D6-A48D-ECF0B75CEE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Entry!$C$71:$F$71</c15:sqref>
                  </c15:fullRef>
                </c:ext>
              </c:extLst>
              <c:f>Entry!$C$71:$E$71</c:f>
              <c:strCache>
                <c:ptCount val="3"/>
                <c:pt idx="0">
                  <c:v>Cost of cabs</c:v>
                </c:pt>
                <c:pt idx="1">
                  <c:v>Cost of EV Charging</c:v>
                </c:pt>
                <c:pt idx="2">
                  <c:v>Cost of Technology &amp; Manpower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Entry!$C$72:$F$72</c15:sqref>
                  </c15:fullRef>
                </c:ext>
              </c:extLst>
              <c:f>Entry!$C$72:$E$72</c:f>
              <c:numCache>
                <c:formatCode>0.0%</c:formatCode>
                <c:ptCount val="3"/>
                <c:pt idx="0">
                  <c:v>0.95</c:v>
                </c:pt>
                <c:pt idx="1">
                  <c:v>0</c:v>
                </c:pt>
                <c:pt idx="2">
                  <c:v>0.05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839-42D6-A48D-ECF0B75CEECF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Entry!$B$74</c:f>
              <c:strCache>
                <c:ptCount val="1"/>
                <c:pt idx="0">
                  <c:v>Pre EV induction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Entry!$C$76</c:f>
              <c:numCache>
                <c:formatCode>0</c:formatCode>
                <c:ptCount val="1"/>
                <c:pt idx="0">
                  <c:v>54.087239956284151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EF-45F5-91A7-F8B3472C27BC}"/>
            </c:ext>
          </c:extLst>
        </c:ser>
        <c:ser>
          <c:idx val="1"/>
          <c:order val="1"/>
          <c:tx>
            <c:strRef>
              <c:f>Entry!$B$77</c:f>
              <c:strCache>
                <c:ptCount val="1"/>
                <c:pt idx="0">
                  <c:v>Post EV induction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Entry!$C$79</c:f>
              <c:numCache>
                <c:formatCode>0</c:formatCode>
                <c:ptCount val="1"/>
                <c:pt idx="0">
                  <c:v>20.82675995628415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AEF-45F5-91A7-F8B3472C27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axId val="-1604817472"/>
        <c:axId val="-1604827264"/>
      </c:barChart>
      <c:catAx>
        <c:axId val="-16048174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1604827264"/>
        <c:crosses val="autoZero"/>
        <c:auto val="1"/>
        <c:lblAlgn val="ctr"/>
        <c:lblOffset val="100"/>
        <c:noMultiLvlLbl val="1"/>
      </c:catAx>
      <c:valAx>
        <c:axId val="-1604827264"/>
        <c:scaling>
          <c:orientation val="minMax"/>
          <c:max val="400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emissiomn(in tonnes)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4817472"/>
        <c:crosses val="autoZero"/>
        <c:crossBetween val="between"/>
        <c:majorUnit val="40"/>
        <c:minorUnit val="1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Per Year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210633031060675E-2"/>
          <c:y val="0.13320518133613865"/>
          <c:w val="0.91450348919655189"/>
          <c:h val="0.608472401025917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Entry!$B$74</c:f>
              <c:strCache>
                <c:ptCount val="1"/>
                <c:pt idx="0">
                  <c:v>Pre EV induction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Entry!$E$76</c:f>
              <c:numCache>
                <c:formatCode>0</c:formatCode>
                <c:ptCount val="1"/>
                <c:pt idx="0">
                  <c:v>649.04687947540992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BF3-497E-B15F-684A44EC8DE5}"/>
            </c:ext>
          </c:extLst>
        </c:ser>
        <c:ser>
          <c:idx val="1"/>
          <c:order val="1"/>
          <c:tx>
            <c:strRef>
              <c:f>Entry!$B$77</c:f>
              <c:strCache>
                <c:ptCount val="1"/>
                <c:pt idx="0">
                  <c:v>Post EV induction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Entry!$E$79</c:f>
              <c:numCache>
                <c:formatCode>0</c:formatCode>
                <c:ptCount val="1"/>
                <c:pt idx="0">
                  <c:v>249.92111947540985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BF3-497E-B15F-684A44EC8D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axId val="-1604816928"/>
        <c:axId val="-1604823456"/>
      </c:barChart>
      <c:catAx>
        <c:axId val="-16048169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1604823456"/>
        <c:crosses val="autoZero"/>
        <c:auto val="1"/>
        <c:lblAlgn val="ctr"/>
        <c:lblOffset val="100"/>
        <c:noMultiLvlLbl val="1"/>
      </c:catAx>
      <c:valAx>
        <c:axId val="-1604823456"/>
        <c:scaling>
          <c:orientation val="minMax"/>
          <c:max val="2000"/>
          <c:min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CO2 emissiomn(in tonnes)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4816928"/>
        <c:crosses val="autoZero"/>
        <c:crossBetween val="between"/>
        <c:majorUnit val="200"/>
        <c:minorUnit val="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203592441940026"/>
          <c:y val="0.92508718798814116"/>
          <c:w val="0.59845845195382386"/>
          <c:h val="7.28970223132625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Entry!$C$80:$E$80</c:f>
              <c:strCache>
                <c:ptCount val="3"/>
                <c:pt idx="0">
                  <c:v>Hatchback</c:v>
                </c:pt>
                <c:pt idx="1">
                  <c:v>Sedan</c:v>
                </c:pt>
                <c:pt idx="2">
                  <c:v>SUV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014-44D6-B77D-3862B8EB1B6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014-44D6-B77D-3862B8EB1B6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014-44D6-B77D-3862B8EB1B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Entry!$C$80:$E$80</c:f>
              <c:strCache>
                <c:ptCount val="3"/>
                <c:pt idx="0">
                  <c:v>Hatchback</c:v>
                </c:pt>
                <c:pt idx="1">
                  <c:v>Sedan</c:v>
                </c:pt>
                <c:pt idx="2">
                  <c:v>SUV</c:v>
                </c:pt>
              </c:strCache>
            </c:strRef>
          </c:cat>
          <c:val>
            <c:numRef>
              <c:f>Entry!$C$81:$E$81</c:f>
              <c:numCache>
                <c:formatCode>0%</c:formatCode>
                <c:ptCount val="3"/>
                <c:pt idx="0">
                  <c:v>0.93203883495145634</c:v>
                </c:pt>
                <c:pt idx="1">
                  <c:v>6.7961165048543687E-2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014-44D6-B77D-3862B8EB1B6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Entry!$C$83:$E$83</c:f>
              <c:strCache>
                <c:ptCount val="3"/>
                <c:pt idx="0">
                  <c:v>Trips done by
 Hatchbacks</c:v>
                </c:pt>
                <c:pt idx="1">
                  <c:v>Trips done by Sedans</c:v>
                </c:pt>
                <c:pt idx="2">
                  <c:v>Trips done by SUVs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6CB-448A-BCA2-2A3C6153B96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6CB-448A-BCA2-2A3C6153B96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6CB-448A-BCA2-2A3C6153B9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Entry!$C$83:$E$83</c:f>
              <c:strCache>
                <c:ptCount val="3"/>
                <c:pt idx="0">
                  <c:v>Trips done by
 Hatchbacks</c:v>
                </c:pt>
                <c:pt idx="1">
                  <c:v>Trips done by Sedans</c:v>
                </c:pt>
                <c:pt idx="2">
                  <c:v>Trips done by SUVs</c:v>
                </c:pt>
              </c:strCache>
            </c:strRef>
          </c:cat>
          <c:val>
            <c:numRef>
              <c:f>Entry!$C$84:$E$84</c:f>
              <c:numCache>
                <c:formatCode>0%</c:formatCode>
                <c:ptCount val="3"/>
                <c:pt idx="0">
                  <c:v>0.92307692307692313</c:v>
                </c:pt>
                <c:pt idx="1">
                  <c:v>7.6923076923076927E-2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6CB-448A-BCA2-2A3C6153B96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07/relationships/hdphoto" Target="../media/hdphoto1.wdp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671287</xdr:colOff>
      <xdr:row>35</xdr:row>
      <xdr:rowOff>365125</xdr:rowOff>
    </xdr:from>
    <xdr:to>
      <xdr:col>2</xdr:col>
      <xdr:colOff>1621519</xdr:colOff>
      <xdr:row>36</xdr:row>
      <xdr:rowOff>285752</xdr:rowOff>
    </xdr:to>
    <xdr:sp macro="[0]!EN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762CE085-5EE2-49DF-B1A5-07D31872987F}"/>
            </a:ext>
          </a:extLst>
        </xdr:cNvPr>
        <xdr:cNvSpPr/>
      </xdr:nvSpPr>
      <xdr:spPr>
        <a:xfrm>
          <a:off x="6021162" y="10033000"/>
          <a:ext cx="950232" cy="508002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120772</xdr:colOff>
      <xdr:row>76</xdr:row>
      <xdr:rowOff>-1</xdr:rowOff>
    </xdr:from>
    <xdr:to>
      <xdr:col>39</xdr:col>
      <xdr:colOff>76202</xdr:colOff>
      <xdr:row>105</xdr:row>
      <xdr:rowOff>133351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xmlns="" id="{A558B755-7A3C-4080-A891-A518299716AC}"/>
            </a:ext>
          </a:extLst>
        </xdr:cNvPr>
        <xdr:cNvGrpSpPr/>
      </xdr:nvGrpSpPr>
      <xdr:grpSpPr>
        <a:xfrm>
          <a:off x="43811533" y="16772282"/>
          <a:ext cx="5960321" cy="5537754"/>
          <a:chOff x="26615921" y="668780"/>
          <a:chExt cx="4211411" cy="4547474"/>
        </a:xfrm>
      </xdr:grpSpPr>
      <xdr:graphicFrame macro="">
        <xdr:nvGraphicFramePr>
          <xdr:cNvPr id="33" name="Chart 32">
            <a:extLst>
              <a:ext uri="{FF2B5EF4-FFF2-40B4-BE49-F238E27FC236}">
                <a16:creationId xmlns:a16="http://schemas.microsoft.com/office/drawing/2014/main" xmlns="" id="{0BAF7792-AD95-4B19-BA6B-BEF9E86B7EBD}"/>
              </a:ext>
            </a:extLst>
          </xdr:cNvPr>
          <xdr:cNvGraphicFramePr>
            <a:graphicFrameLocks/>
          </xdr:cNvGraphicFramePr>
        </xdr:nvGraphicFramePr>
        <xdr:xfrm>
          <a:off x="26615921" y="1281236"/>
          <a:ext cx="4211411" cy="3935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xmlns="" id="{A6B6BF6A-37FA-418F-95F8-E1EB09426B4C}"/>
              </a:ext>
            </a:extLst>
          </xdr:cNvPr>
          <xdr:cNvSpPr txBox="1"/>
        </xdr:nvSpPr>
        <xdr:spPr>
          <a:xfrm>
            <a:off x="26615921" y="668780"/>
            <a:ext cx="4204607" cy="627766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/>
              <a:t>COST</a:t>
            </a:r>
            <a:r>
              <a:rPr lang="en-US" sz="1800" b="1" baseline="0"/>
              <a:t> BREAKUP FOR TRANSPORTATION BUDGET</a:t>
            </a:r>
          </a:p>
          <a:p>
            <a:pPr algn="ctr"/>
            <a:r>
              <a:rPr lang="en-US" sz="1800" b="1" baseline="0"/>
              <a:t> (POST EV INDUCTION)</a:t>
            </a:r>
          </a:p>
        </xdr:txBody>
      </xdr:sp>
    </xdr:grpSp>
    <xdr:clientData/>
  </xdr:twoCellAnchor>
  <xdr:twoCellAnchor>
    <xdr:from>
      <xdr:col>29</xdr:col>
      <xdr:colOff>47898</xdr:colOff>
      <xdr:row>43</xdr:row>
      <xdr:rowOff>89307</xdr:rowOff>
    </xdr:from>
    <xdr:to>
      <xdr:col>39</xdr:col>
      <xdr:colOff>76200</xdr:colOff>
      <xdr:row>71</xdr:row>
      <xdr:rowOff>180976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xmlns="" id="{8EC4772B-7B11-4B71-9CCD-BCF4C49964F8}"/>
            </a:ext>
          </a:extLst>
        </xdr:cNvPr>
        <xdr:cNvGrpSpPr/>
      </xdr:nvGrpSpPr>
      <xdr:grpSpPr>
        <a:xfrm>
          <a:off x="43738659" y="10401155"/>
          <a:ext cx="6033193" cy="5620310"/>
          <a:chOff x="32398990" y="314746"/>
          <a:chExt cx="4217831" cy="4388739"/>
        </a:xfrm>
      </xdr:grpSpPr>
      <xdr:graphicFrame macro="">
        <xdr:nvGraphicFramePr>
          <xdr:cNvPr id="36" name="Chart 35">
            <a:extLst>
              <a:ext uri="{FF2B5EF4-FFF2-40B4-BE49-F238E27FC236}">
                <a16:creationId xmlns:a16="http://schemas.microsoft.com/office/drawing/2014/main" xmlns="" id="{A478E028-2ABB-4E0E-B483-1B56A5019F79}"/>
              </a:ext>
            </a:extLst>
          </xdr:cNvPr>
          <xdr:cNvGraphicFramePr>
            <a:graphicFrameLocks/>
          </xdr:cNvGraphicFramePr>
        </xdr:nvGraphicFramePr>
        <xdr:xfrm>
          <a:off x="32405410" y="934306"/>
          <a:ext cx="4211411" cy="37691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xmlns="" id="{6E26689D-E205-414C-97C2-AE8BE658792F}"/>
              </a:ext>
            </a:extLst>
          </xdr:cNvPr>
          <xdr:cNvSpPr txBox="1"/>
        </xdr:nvSpPr>
        <xdr:spPr>
          <a:xfrm>
            <a:off x="32398990" y="314746"/>
            <a:ext cx="4204607" cy="589928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/>
              <a:t>COST</a:t>
            </a:r>
            <a:r>
              <a:rPr lang="en-US" sz="1800" b="1" baseline="0"/>
              <a:t> BREAKUP FOR TRANSPORTATION BUDGET</a:t>
            </a:r>
          </a:p>
          <a:p>
            <a:pPr algn="ctr"/>
            <a:r>
              <a:rPr lang="en-US" sz="1800" b="1" baseline="0"/>
              <a:t> (PRE EV INDUCTION)</a:t>
            </a:r>
          </a:p>
        </xdr:txBody>
      </xdr:sp>
    </xdr:grpSp>
    <xdr:clientData/>
  </xdr:twoCellAnchor>
  <xdr:twoCellAnchor>
    <xdr:from>
      <xdr:col>3</xdr:col>
      <xdr:colOff>723899</xdr:colOff>
      <xdr:row>2</xdr:row>
      <xdr:rowOff>0</xdr:rowOff>
    </xdr:from>
    <xdr:to>
      <xdr:col>9</xdr:col>
      <xdr:colOff>19050</xdr:colOff>
      <xdr:row>4</xdr:row>
      <xdr:rowOff>76200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xmlns="" id="{B0F85DF7-1BAC-4FEB-880A-C69D24D77F33}"/>
            </a:ext>
          </a:extLst>
        </xdr:cNvPr>
        <xdr:cNvSpPr/>
      </xdr:nvSpPr>
      <xdr:spPr>
        <a:xfrm>
          <a:off x="2628899" y="381000"/>
          <a:ext cx="14916151" cy="4572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100" b="1">
              <a:latin typeface="Univers for KPMG" panose="020B0603020202020204" pitchFamily="34" charset="0"/>
            </a:rPr>
            <a:t>CONVERSION</a:t>
          </a:r>
          <a:r>
            <a:rPr lang="en-US" sz="2100" b="1" baseline="0">
              <a:latin typeface="Univers for KPMG" panose="020B0603020202020204" pitchFamily="34" charset="0"/>
            </a:rPr>
            <a:t> OF INTERNAL COMBUSTION ENGINE CARS TO ELECTRIC VEHICLES</a:t>
          </a:r>
          <a:endParaRPr lang="en-US" sz="2100" b="1">
            <a:latin typeface="Univers for KPMG" panose="020B0603020202020204" pitchFamily="34" charset="0"/>
          </a:endParaRPr>
        </a:p>
      </xdr:txBody>
    </xdr:sp>
    <xdr:clientData/>
  </xdr:twoCellAnchor>
  <xdr:twoCellAnchor>
    <xdr:from>
      <xdr:col>16</xdr:col>
      <xdr:colOff>19050</xdr:colOff>
      <xdr:row>2</xdr:row>
      <xdr:rowOff>38100</xdr:rowOff>
    </xdr:from>
    <xdr:to>
      <xdr:col>21</xdr:col>
      <xdr:colOff>38100</xdr:colOff>
      <xdr:row>4</xdr:row>
      <xdr:rowOff>95250</xdr:rowOff>
    </xdr:to>
    <xdr:sp macro="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xmlns="" id="{ACC11B3A-DF7C-4A69-924F-A88032C7D916}"/>
            </a:ext>
          </a:extLst>
        </xdr:cNvPr>
        <xdr:cNvSpPr/>
      </xdr:nvSpPr>
      <xdr:spPr>
        <a:xfrm>
          <a:off x="22288500" y="419100"/>
          <a:ext cx="15887700" cy="4381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100" b="1">
              <a:latin typeface="Univers for KPMG" panose="020B0603020202020204" pitchFamily="34" charset="0"/>
            </a:rPr>
            <a:t>CALCULATION OF TRIPS PER DAY BEFORE AND AFTER ELECTRIC VEHICLE INDUCTION</a:t>
          </a:r>
        </a:p>
      </xdr:txBody>
    </xdr:sp>
    <xdr:clientData/>
  </xdr:twoCellAnchor>
  <xdr:twoCellAnchor>
    <xdr:from>
      <xdr:col>27</xdr:col>
      <xdr:colOff>452436</xdr:colOff>
      <xdr:row>2</xdr:row>
      <xdr:rowOff>76199</xdr:rowOff>
    </xdr:from>
    <xdr:to>
      <xdr:col>41</xdr:col>
      <xdr:colOff>361949</xdr:colOff>
      <xdr:row>4</xdr:row>
      <xdr:rowOff>142874</xdr:rowOff>
    </xdr:to>
    <xdr:sp macro="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xmlns="" id="{85158D81-CC13-468F-97F5-76A8A4C2343E}"/>
            </a:ext>
          </a:extLst>
        </xdr:cNvPr>
        <xdr:cNvSpPr/>
      </xdr:nvSpPr>
      <xdr:spPr>
        <a:xfrm>
          <a:off x="43076811" y="457199"/>
          <a:ext cx="8577263" cy="44767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100" b="1">
              <a:latin typeface="Univers for KPMG" panose="020B0603020202020204" pitchFamily="34" charset="0"/>
            </a:rPr>
            <a:t>FINAL</a:t>
          </a:r>
          <a:r>
            <a:rPr lang="en-US" sz="2100" b="1" baseline="0">
              <a:latin typeface="Univers for KPMG" panose="020B0603020202020204" pitchFamily="34" charset="0"/>
            </a:rPr>
            <a:t> RESULTS POST EV INDUCTION</a:t>
          </a:r>
          <a:endParaRPr lang="en-US" sz="2100" b="1">
            <a:latin typeface="Univers for KPMG" panose="020B0603020202020204" pitchFamily="34" charset="0"/>
          </a:endParaRPr>
        </a:p>
      </xdr:txBody>
    </xdr:sp>
    <xdr:clientData/>
  </xdr:twoCellAnchor>
  <xdr:twoCellAnchor>
    <xdr:from>
      <xdr:col>28</xdr:col>
      <xdr:colOff>590550</xdr:colOff>
      <xdr:row>25</xdr:row>
      <xdr:rowOff>239791</xdr:rowOff>
    </xdr:from>
    <xdr:to>
      <xdr:col>39</xdr:col>
      <xdr:colOff>38100</xdr:colOff>
      <xdr:row>27</xdr:row>
      <xdr:rowOff>71437</xdr:rowOff>
    </xdr:to>
    <xdr:sp macro="" textlink="">
      <xdr:nvSpPr>
        <xdr:cNvPr id="109" name="Rectangle: Rounded Corners 108">
          <a:extLst>
            <a:ext uri="{FF2B5EF4-FFF2-40B4-BE49-F238E27FC236}">
              <a16:creationId xmlns:a16="http://schemas.microsoft.com/office/drawing/2014/main" xmlns="" id="{F173BCDB-77D0-4091-AD7B-D1988F395204}"/>
            </a:ext>
          </a:extLst>
        </xdr:cNvPr>
        <xdr:cNvSpPr/>
      </xdr:nvSpPr>
      <xdr:spPr>
        <a:xfrm>
          <a:off x="43834050" y="6097666"/>
          <a:ext cx="6257925" cy="831771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100" b="1">
              <a:latin typeface="Univers for KPMG" panose="020B0603020202020204" pitchFamily="34" charset="0"/>
            </a:rPr>
            <a:t>COST COMPARISON PRE AND POST EV INDUCTION</a:t>
          </a:r>
        </a:p>
      </xdr:txBody>
    </xdr:sp>
    <xdr:clientData/>
  </xdr:twoCellAnchor>
  <xdr:twoCellAnchor>
    <xdr:from>
      <xdr:col>16</xdr:col>
      <xdr:colOff>99291</xdr:colOff>
      <xdr:row>48</xdr:row>
      <xdr:rowOff>34059</xdr:rowOff>
    </xdr:from>
    <xdr:to>
      <xdr:col>20</xdr:col>
      <xdr:colOff>1943100</xdr:colOff>
      <xdr:row>50</xdr:row>
      <xdr:rowOff>133350</xdr:rowOff>
    </xdr:to>
    <xdr:sp macro="" textlink="">
      <xdr:nvSpPr>
        <xdr:cNvPr id="110" name="Rectangle: Rounded Corners 109">
          <a:extLst>
            <a:ext uri="{FF2B5EF4-FFF2-40B4-BE49-F238E27FC236}">
              <a16:creationId xmlns:a16="http://schemas.microsoft.com/office/drawing/2014/main" xmlns="" id="{2BA734E9-42A5-4226-ABAB-02FB01B01665}"/>
            </a:ext>
          </a:extLst>
        </xdr:cNvPr>
        <xdr:cNvSpPr/>
      </xdr:nvSpPr>
      <xdr:spPr>
        <a:xfrm>
          <a:off x="22368741" y="11559309"/>
          <a:ext cx="15693159" cy="480291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100" b="1">
              <a:latin typeface="Univers for KPMG" panose="020B0603020202020204" pitchFamily="34" charset="0"/>
            </a:rPr>
            <a:t>CALCULATION OF CARBON EMISSION</a:t>
          </a:r>
          <a:r>
            <a:rPr lang="en-US" sz="2100" b="1" baseline="0">
              <a:latin typeface="Univers for KPMG" panose="020B0603020202020204" pitchFamily="34" charset="0"/>
            </a:rPr>
            <a:t> OVER DIFFERENT PERIODS OF TIME</a:t>
          </a:r>
          <a:endParaRPr lang="en-US" sz="2100" b="1">
            <a:latin typeface="Univers for KPMG" panose="020B0603020202020204" pitchFamily="34" charset="0"/>
          </a:endParaRPr>
        </a:p>
      </xdr:txBody>
    </xdr:sp>
    <xdr:clientData/>
  </xdr:twoCellAnchor>
  <xdr:twoCellAnchor>
    <xdr:from>
      <xdr:col>4</xdr:col>
      <xdr:colOff>0</xdr:colOff>
      <xdr:row>10</xdr:row>
      <xdr:rowOff>38100</xdr:rowOff>
    </xdr:from>
    <xdr:to>
      <xdr:col>9</xdr:col>
      <xdr:colOff>0</xdr:colOff>
      <xdr:row>11</xdr:row>
      <xdr:rowOff>189124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xmlns="" id="{476C1C24-EE04-4F76-974D-E4A1D902EBAF}"/>
            </a:ext>
          </a:extLst>
        </xdr:cNvPr>
        <xdr:cNvSpPr txBox="1"/>
      </xdr:nvSpPr>
      <xdr:spPr>
        <a:xfrm>
          <a:off x="2667000" y="1943100"/>
          <a:ext cx="15335250" cy="341524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VEHICLE DISTRIBUTION PER MONTH</a:t>
          </a:r>
          <a:r>
            <a:rPr lang="en-US" sz="2000" b="1" baseline="0"/>
            <a:t> ( PRE EV INDUCTION)</a:t>
          </a:r>
          <a:endParaRPr lang="en-US" sz="2000" b="1"/>
        </a:p>
      </xdr:txBody>
    </xdr:sp>
    <xdr:clientData/>
  </xdr:twoCellAnchor>
  <xdr:twoCellAnchor>
    <xdr:from>
      <xdr:col>4</xdr:col>
      <xdr:colOff>0</xdr:colOff>
      <xdr:row>23</xdr:row>
      <xdr:rowOff>19050</xdr:rowOff>
    </xdr:from>
    <xdr:to>
      <xdr:col>9</xdr:col>
      <xdr:colOff>0</xdr:colOff>
      <xdr:row>24</xdr:row>
      <xdr:rowOff>170074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xmlns="" id="{B41F751F-C9EC-4839-AD25-90658BF68F80}"/>
            </a:ext>
          </a:extLst>
        </xdr:cNvPr>
        <xdr:cNvSpPr txBox="1"/>
      </xdr:nvSpPr>
      <xdr:spPr>
        <a:xfrm>
          <a:off x="2667000" y="5524500"/>
          <a:ext cx="15335250" cy="341524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VEHICLE DISTRIBUTION PER MONTH</a:t>
          </a:r>
          <a:r>
            <a:rPr lang="en-US" sz="2000" b="1" baseline="0"/>
            <a:t> ( POST EV INDUCTION)</a:t>
          </a:r>
          <a:endParaRPr lang="en-US" sz="2000" b="1"/>
        </a:p>
      </xdr:txBody>
    </xdr:sp>
    <xdr:clientData/>
  </xdr:twoCellAnchor>
  <xdr:twoCellAnchor>
    <xdr:from>
      <xdr:col>16</xdr:col>
      <xdr:colOff>0</xdr:colOff>
      <xdr:row>10</xdr:row>
      <xdr:rowOff>0</xdr:rowOff>
    </xdr:from>
    <xdr:to>
      <xdr:col>21</xdr:col>
      <xdr:colOff>0</xdr:colOff>
      <xdr:row>11</xdr:row>
      <xdr:rowOff>171450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xmlns="" id="{5D6E4136-B81D-4BF4-86CF-03F832FF04B0}"/>
            </a:ext>
          </a:extLst>
        </xdr:cNvPr>
        <xdr:cNvSpPr txBox="1"/>
      </xdr:nvSpPr>
      <xdr:spPr>
        <a:xfrm>
          <a:off x="22269450" y="1905000"/>
          <a:ext cx="15868650" cy="3619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TRIP</a:t>
          </a:r>
          <a:r>
            <a:rPr lang="en-US" sz="2000" b="1" baseline="0"/>
            <a:t> </a:t>
          </a:r>
          <a:r>
            <a:rPr lang="en-US" sz="2000" b="1"/>
            <a:t>DISTRIBUTION PER MONTH</a:t>
          </a:r>
          <a:r>
            <a:rPr lang="en-US" sz="2000" b="1" baseline="0"/>
            <a:t> ( PRE EV INDUCTION)</a:t>
          </a:r>
          <a:endParaRPr lang="en-US" sz="2000" b="1"/>
        </a:p>
      </xdr:txBody>
    </xdr:sp>
    <xdr:clientData/>
  </xdr:twoCellAnchor>
  <xdr:twoCellAnchor>
    <xdr:from>
      <xdr:col>16</xdr:col>
      <xdr:colOff>0</xdr:colOff>
      <xdr:row>23</xdr:row>
      <xdr:rowOff>0</xdr:rowOff>
    </xdr:from>
    <xdr:to>
      <xdr:col>21</xdr:col>
      <xdr:colOff>0</xdr:colOff>
      <xdr:row>24</xdr:row>
      <xdr:rowOff>171450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xmlns="" id="{A23FF84C-5BD1-46AA-9C48-FBD80A3F70A3}"/>
            </a:ext>
          </a:extLst>
        </xdr:cNvPr>
        <xdr:cNvSpPr txBox="1"/>
      </xdr:nvSpPr>
      <xdr:spPr>
        <a:xfrm>
          <a:off x="22269450" y="5505450"/>
          <a:ext cx="15868650" cy="3619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TRIP</a:t>
          </a:r>
          <a:r>
            <a:rPr lang="en-US" sz="2000" b="1" baseline="0"/>
            <a:t> </a:t>
          </a:r>
          <a:r>
            <a:rPr lang="en-US" sz="2000" b="1"/>
            <a:t>DISTRIBUTION PER MONTH</a:t>
          </a:r>
          <a:r>
            <a:rPr lang="en-US" sz="2000" b="1" baseline="0"/>
            <a:t> ( POST EV INDUCTION)</a:t>
          </a:r>
          <a:endParaRPr lang="en-US" sz="2000" b="1"/>
        </a:p>
      </xdr:txBody>
    </xdr:sp>
    <xdr:clientData/>
  </xdr:twoCellAnchor>
  <xdr:twoCellAnchor editAs="oneCell">
    <xdr:from>
      <xdr:col>19</xdr:col>
      <xdr:colOff>2190750</xdr:colOff>
      <xdr:row>71</xdr:row>
      <xdr:rowOff>133350</xdr:rowOff>
    </xdr:from>
    <xdr:to>
      <xdr:col>19</xdr:col>
      <xdr:colOff>2495550</xdr:colOff>
      <xdr:row>73</xdr:row>
      <xdr:rowOff>66675</xdr:rowOff>
    </xdr:to>
    <xdr:sp macro="" textlink="">
      <xdr:nvSpPr>
        <xdr:cNvPr id="1025" name="AutoShape 1" descr="Tree Png Transparent Clip Art Image Free Download - Transparent ...">
          <a:extLst>
            <a:ext uri="{FF2B5EF4-FFF2-40B4-BE49-F238E27FC236}">
              <a16:creationId xmlns:a16="http://schemas.microsoft.com/office/drawing/2014/main" xmlns="" id="{91887FAF-CC30-4CCE-995B-568485633609}"/>
            </a:ext>
          </a:extLst>
        </xdr:cNvPr>
        <xdr:cNvSpPr>
          <a:spLocks noChangeAspect="1" noChangeArrowheads="1"/>
        </xdr:cNvSpPr>
      </xdr:nvSpPr>
      <xdr:spPr bwMode="auto">
        <a:xfrm>
          <a:off x="35013900" y="1632585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18</xdr:col>
      <xdr:colOff>4914900</xdr:colOff>
      <xdr:row>60</xdr:row>
      <xdr:rowOff>95250</xdr:rowOff>
    </xdr:from>
    <xdr:ext cx="184731" cy="264560"/>
    <xdr:sp macro="" textlink="">
      <xdr:nvSpPr>
        <xdr:cNvPr id="1024" name="TextBox 1023">
          <a:extLst>
            <a:ext uri="{FF2B5EF4-FFF2-40B4-BE49-F238E27FC236}">
              <a16:creationId xmlns:a16="http://schemas.microsoft.com/office/drawing/2014/main" xmlns="" id="{A5DAEFB6-26CE-4028-84C6-E4956F37EB1C}"/>
            </a:ext>
          </a:extLst>
        </xdr:cNvPr>
        <xdr:cNvSpPr txBox="1"/>
      </xdr:nvSpPr>
      <xdr:spPr>
        <a:xfrm>
          <a:off x="32518350" y="14154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18</xdr:col>
      <xdr:colOff>4667249</xdr:colOff>
      <xdr:row>83</xdr:row>
      <xdr:rowOff>47624</xdr:rowOff>
    </xdr:from>
    <xdr:to>
      <xdr:col>20</xdr:col>
      <xdr:colOff>1943099</xdr:colOff>
      <xdr:row>108</xdr:row>
      <xdr:rowOff>19049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xmlns="" id="{82D7EF05-210E-4592-BB17-9853378B4807}"/>
            </a:ext>
          </a:extLst>
        </xdr:cNvPr>
        <xdr:cNvSpPr txBox="1"/>
      </xdr:nvSpPr>
      <xdr:spPr>
        <a:xfrm>
          <a:off x="32646937" y="18240374"/>
          <a:ext cx="5776912" cy="4733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160" b="1">
              <a:solidFill>
                <a:schemeClr val="accent3">
                  <a:lumMod val="75000"/>
                </a:schemeClr>
              </a:solidFill>
              <a:latin typeface="+mj-lt"/>
            </a:rPr>
            <a:t>Per Year </a:t>
          </a:r>
        </a:p>
      </xdr:txBody>
    </xdr:sp>
    <xdr:clientData/>
  </xdr:twoCellAnchor>
  <xdr:twoCellAnchor>
    <xdr:from>
      <xdr:col>16</xdr:col>
      <xdr:colOff>127170</xdr:colOff>
      <xdr:row>55</xdr:row>
      <xdr:rowOff>76196</xdr:rowOff>
    </xdr:from>
    <xdr:to>
      <xdr:col>20</xdr:col>
      <xdr:colOff>1943100</xdr:colOff>
      <xdr:row>108</xdr:row>
      <xdr:rowOff>14286</xdr:rowOff>
    </xdr:to>
    <xdr:grpSp>
      <xdr:nvGrpSpPr>
        <xdr:cNvPr id="1028" name="Group 1027">
          <a:extLst>
            <a:ext uri="{FF2B5EF4-FFF2-40B4-BE49-F238E27FC236}">
              <a16:creationId xmlns:a16="http://schemas.microsoft.com/office/drawing/2014/main" xmlns="" id="{EB7CF357-58C0-4E87-A970-7E29094A9FE4}"/>
            </a:ext>
          </a:extLst>
        </xdr:cNvPr>
        <xdr:cNvGrpSpPr/>
      </xdr:nvGrpSpPr>
      <xdr:grpSpPr>
        <a:xfrm>
          <a:off x="22655866" y="12748587"/>
          <a:ext cx="15668593" cy="10001460"/>
          <a:chOff x="22396620" y="13049247"/>
          <a:chExt cx="15665280" cy="10208122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xmlns="" id="{26664B8A-406C-4443-97F8-666FFDD4ECC6}"/>
              </a:ext>
            </a:extLst>
          </xdr:cNvPr>
          <xdr:cNvGrpSpPr/>
        </xdr:nvGrpSpPr>
        <xdr:grpSpPr>
          <a:xfrm>
            <a:off x="22396620" y="13049247"/>
            <a:ext cx="15665280" cy="5143503"/>
            <a:chOff x="22312586" y="8019572"/>
            <a:chExt cx="11035862" cy="3438092"/>
          </a:xfrm>
        </xdr:grpSpPr>
        <xdr:graphicFrame macro="">
          <xdr:nvGraphicFramePr>
            <xdr:cNvPr id="50" name="Chart 49">
              <a:extLst>
                <a:ext uri="{FF2B5EF4-FFF2-40B4-BE49-F238E27FC236}">
                  <a16:creationId xmlns:a16="http://schemas.microsoft.com/office/drawing/2014/main" xmlns="" id="{74C4059D-5004-4EB6-B87D-D0B11D6D9BD2}"/>
                </a:ext>
              </a:extLst>
            </xdr:cNvPr>
            <xdr:cNvGraphicFramePr>
              <a:graphicFrameLocks/>
            </xdr:cNvGraphicFramePr>
          </xdr:nvGraphicFramePr>
          <xdr:xfrm>
            <a:off x="22316940" y="8286980"/>
            <a:ext cx="5488913" cy="31706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xmlns="" id="{773F58F9-D5E8-4E68-9E6F-15EABA070C48}"/>
                </a:ext>
              </a:extLst>
            </xdr:cNvPr>
            <xdr:cNvSpPr txBox="1"/>
          </xdr:nvSpPr>
          <xdr:spPr>
            <a:xfrm>
              <a:off x="22312586" y="8019572"/>
              <a:ext cx="11035862" cy="257325"/>
            </a:xfrm>
            <a:prstGeom prst="rect">
              <a:avLst/>
            </a:prstGeom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 b="1"/>
                <a:t>COMPARISON</a:t>
              </a:r>
              <a:r>
                <a:rPr lang="en-US" sz="1800" b="1" baseline="0"/>
                <a:t> OF CARBON FOOTPRINT PRE AND POST EV INDUCTION OVER DIFFERENT TIME PERIOD </a:t>
              </a:r>
              <a:endParaRPr lang="en-US" sz="1800" b="1"/>
            </a:p>
          </xdr:txBody>
        </xdr:sp>
      </xdr:grpSp>
      <xdr:graphicFrame macro="">
        <xdr:nvGraphicFramePr>
          <xdr:cNvPr id="120" name="Chart 119">
            <a:extLst>
              <a:ext uri="{FF2B5EF4-FFF2-40B4-BE49-F238E27FC236}">
                <a16:creationId xmlns:a16="http://schemas.microsoft.com/office/drawing/2014/main" xmlns="" id="{967B9F7B-EF8A-4DD2-A86E-E9E358A4FAAD}"/>
              </a:ext>
            </a:extLst>
          </xdr:cNvPr>
          <xdr:cNvGraphicFramePr>
            <a:graphicFrameLocks/>
          </xdr:cNvGraphicFramePr>
        </xdr:nvGraphicFramePr>
        <xdr:xfrm>
          <a:off x="22421850" y="18361519"/>
          <a:ext cx="7772400" cy="4895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22" name="Arrow: Left-Right 121">
            <a:extLst>
              <a:ext uri="{FF2B5EF4-FFF2-40B4-BE49-F238E27FC236}">
                <a16:creationId xmlns:a16="http://schemas.microsoft.com/office/drawing/2014/main" xmlns="" id="{2CA0B673-C96C-499A-A59F-B9961C476F37}"/>
              </a:ext>
            </a:extLst>
          </xdr:cNvPr>
          <xdr:cNvSpPr/>
        </xdr:nvSpPr>
        <xdr:spPr>
          <a:xfrm>
            <a:off x="30632400" y="15506700"/>
            <a:ext cx="1257300" cy="400050"/>
          </a:xfrm>
          <a:prstGeom prst="left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6" name="TextBox 1025">
            <a:extLst>
              <a:ext uri="{FF2B5EF4-FFF2-40B4-BE49-F238E27FC236}">
                <a16:creationId xmlns:a16="http://schemas.microsoft.com/office/drawing/2014/main" xmlns="" id="{AD4044BC-ECFE-48A7-BB93-528D57867B0A}"/>
              </a:ext>
            </a:extLst>
          </xdr:cNvPr>
          <xdr:cNvSpPr txBox="1"/>
        </xdr:nvSpPr>
        <xdr:spPr>
          <a:xfrm>
            <a:off x="32270700" y="13430250"/>
            <a:ext cx="5791200" cy="48387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160" b="1">
                <a:solidFill>
                  <a:schemeClr val="accent3">
                    <a:lumMod val="75000"/>
                  </a:schemeClr>
                </a:solidFill>
                <a:latin typeface="+mj-lt"/>
              </a:rPr>
              <a:t>Per Month </a:t>
            </a:r>
          </a:p>
        </xdr:txBody>
      </xdr:sp>
      <xdr:grpSp>
        <xdr:nvGrpSpPr>
          <xdr:cNvPr id="140" name="Group 139">
            <a:extLst>
              <a:ext uri="{FF2B5EF4-FFF2-40B4-BE49-F238E27FC236}">
                <a16:creationId xmlns:a16="http://schemas.microsoft.com/office/drawing/2014/main" xmlns="" id="{9CE6B0AD-83D6-4E12-93A2-134AD070496A}"/>
              </a:ext>
            </a:extLst>
          </xdr:cNvPr>
          <xdr:cNvGrpSpPr/>
        </xdr:nvGrpSpPr>
        <xdr:grpSpPr>
          <a:xfrm>
            <a:off x="33013650" y="14325600"/>
            <a:ext cx="4038601" cy="3018016"/>
            <a:chOff x="32575500" y="14077950"/>
            <a:chExt cx="4038601" cy="3018016"/>
          </a:xfrm>
        </xdr:grpSpPr>
        <xdr:pic>
          <xdr:nvPicPr>
            <xdr:cNvPr id="141" name="Picture 140">
              <a:extLst>
                <a:ext uri="{FF2B5EF4-FFF2-40B4-BE49-F238E27FC236}">
                  <a16:creationId xmlns:a16="http://schemas.microsoft.com/office/drawing/2014/main" xmlns="" id="{299759DB-F981-4FC1-9A84-C135DAEE9D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2575500" y="14077950"/>
              <a:ext cx="1254190" cy="1436866"/>
            </a:xfrm>
            <a:prstGeom prst="rect">
              <a:avLst/>
            </a:prstGeom>
          </xdr:spPr>
        </xdr:pic>
        <xdr:pic>
          <xdr:nvPicPr>
            <xdr:cNvPr id="142" name="Picture 141">
              <a:extLst>
                <a:ext uri="{FF2B5EF4-FFF2-40B4-BE49-F238E27FC236}">
                  <a16:creationId xmlns:a16="http://schemas.microsoft.com/office/drawing/2014/main" xmlns="" id="{3C7C359A-2B84-4B9E-91C5-045CAD0E60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2632650" y="15659100"/>
              <a:ext cx="1254190" cy="1436866"/>
            </a:xfrm>
            <a:prstGeom prst="rect">
              <a:avLst/>
            </a:prstGeom>
          </xdr:spPr>
        </xdr:pic>
        <xdr:sp macro="" textlink="Entry!D76">
          <xdr:nvSpPr>
            <xdr:cNvPr id="143" name="Rectangle 142">
              <a:extLst>
                <a:ext uri="{FF2B5EF4-FFF2-40B4-BE49-F238E27FC236}">
                  <a16:creationId xmlns:a16="http://schemas.microsoft.com/office/drawing/2014/main" xmlns="" id="{3DF0DB8D-79D6-47E9-8EBE-F5201A23C2FC}"/>
                </a:ext>
              </a:extLst>
            </xdr:cNvPr>
            <xdr:cNvSpPr/>
          </xdr:nvSpPr>
          <xdr:spPr>
            <a:xfrm>
              <a:off x="33966151" y="14230350"/>
              <a:ext cx="2628900" cy="742950"/>
            </a:xfrm>
            <a:prstGeom prst="rect">
              <a:avLst/>
            </a:prstGeom>
            <a:ln w="28575">
              <a:solidFill>
                <a:srgbClr val="92D05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b"/>
            <a:lstStyle/>
            <a:p>
              <a:pPr algn="ctr"/>
              <a:fld id="{621DB21D-FD78-4EDD-A70D-A2841B8A2A32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ctr"/>
                <a:t>811</a:t>
              </a:fld>
              <a:r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t> Trees</a:t>
              </a:r>
              <a:endParaRPr lang="en-US" sz="1800" b="1">
                <a:latin typeface="Univers for KPMG" panose="020B0603020202020204" pitchFamily="34" charset="0"/>
              </a:endParaRPr>
            </a:p>
          </xdr:txBody>
        </xdr:sp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xmlns="" id="{0EC3D9FB-3061-4F0A-B8F1-AABDB4B8367D}"/>
                </a:ext>
              </a:extLst>
            </xdr:cNvPr>
            <xdr:cNvSpPr txBox="1"/>
          </xdr:nvSpPr>
          <xdr:spPr>
            <a:xfrm>
              <a:off x="33966151" y="14249399"/>
              <a:ext cx="2451586" cy="3556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2000" b="0">
                  <a:latin typeface="Univers for KPMG" panose="020B0603020202020204" pitchFamily="34" charset="0"/>
                </a:rPr>
                <a:t>Pre EV induction</a:t>
              </a:r>
            </a:p>
          </xdr:txBody>
        </xdr:sp>
        <xdr:sp macro="" textlink="Entry!D79">
          <xdr:nvSpPr>
            <xdr:cNvPr id="145" name="Rectangle 144">
              <a:extLst>
                <a:ext uri="{FF2B5EF4-FFF2-40B4-BE49-F238E27FC236}">
                  <a16:creationId xmlns:a16="http://schemas.microsoft.com/office/drawing/2014/main" xmlns="" id="{A1D68E64-8A1B-44BA-BD92-0077CB8DC394}"/>
                </a:ext>
              </a:extLst>
            </xdr:cNvPr>
            <xdr:cNvSpPr/>
          </xdr:nvSpPr>
          <xdr:spPr>
            <a:xfrm>
              <a:off x="33985201" y="15982950"/>
              <a:ext cx="2628900" cy="742950"/>
            </a:xfrm>
            <a:prstGeom prst="rect">
              <a:avLst/>
            </a:prstGeom>
            <a:ln w="28575">
              <a:solidFill>
                <a:srgbClr val="92D05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b"/>
            <a:lstStyle/>
            <a:p>
              <a:pPr algn="ctr"/>
              <a:fld id="{A8D8C919-BC2D-4430-ABE0-158FE4E0C944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ctr"/>
                <a:t>312</a:t>
              </a:fld>
              <a:r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t> Trees</a:t>
              </a:r>
              <a:endParaRPr lang="en-US" sz="1800" b="1">
                <a:latin typeface="Univers for KPMG" panose="020B0603020202020204" pitchFamily="34" charset="0"/>
              </a:endParaRPr>
            </a:p>
          </xdr:txBody>
        </xdr:sp>
        <xdr:sp macro="" textlink="">
          <xdr:nvSpPr>
            <xdr:cNvPr id="146" name="TextBox 145">
              <a:extLst>
                <a:ext uri="{FF2B5EF4-FFF2-40B4-BE49-F238E27FC236}">
                  <a16:creationId xmlns:a16="http://schemas.microsoft.com/office/drawing/2014/main" xmlns="" id="{A5CB24D6-0ECC-4208-836A-D085666DE5E1}"/>
                </a:ext>
              </a:extLst>
            </xdr:cNvPr>
            <xdr:cNvSpPr txBox="1"/>
          </xdr:nvSpPr>
          <xdr:spPr>
            <a:xfrm>
              <a:off x="33947101" y="16021049"/>
              <a:ext cx="2647950" cy="3810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000" b="0">
                  <a:latin typeface="Univers for KPMG" panose="020B0603020202020204" pitchFamily="34" charset="0"/>
                </a:rPr>
                <a:t>Post EV induction</a:t>
              </a:r>
            </a:p>
          </xdr:txBody>
        </xdr:sp>
      </xdr:grpSp>
      <xdr:sp macro="" textlink="">
        <xdr:nvSpPr>
          <xdr:cNvPr id="147" name="Arrow: Left-Right 146">
            <a:extLst>
              <a:ext uri="{FF2B5EF4-FFF2-40B4-BE49-F238E27FC236}">
                <a16:creationId xmlns:a16="http://schemas.microsoft.com/office/drawing/2014/main" xmlns="" id="{EAEFE722-A835-45D6-8DE0-591D7674CE6E}"/>
              </a:ext>
            </a:extLst>
          </xdr:cNvPr>
          <xdr:cNvSpPr/>
        </xdr:nvSpPr>
        <xdr:spPr>
          <a:xfrm>
            <a:off x="30594300" y="20193000"/>
            <a:ext cx="1257300" cy="400050"/>
          </a:xfrm>
          <a:prstGeom prst="left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49" name="Group 148">
            <a:extLst>
              <a:ext uri="{FF2B5EF4-FFF2-40B4-BE49-F238E27FC236}">
                <a16:creationId xmlns:a16="http://schemas.microsoft.com/office/drawing/2014/main" xmlns="" id="{25E2F121-0B9E-49EA-84EF-FD7590B50049}"/>
              </a:ext>
            </a:extLst>
          </xdr:cNvPr>
          <xdr:cNvGrpSpPr/>
        </xdr:nvGrpSpPr>
        <xdr:grpSpPr>
          <a:xfrm>
            <a:off x="33013650" y="19297650"/>
            <a:ext cx="4038601" cy="3018016"/>
            <a:chOff x="32575500" y="14077950"/>
            <a:chExt cx="4038601" cy="3018016"/>
          </a:xfrm>
        </xdr:grpSpPr>
        <xdr:pic>
          <xdr:nvPicPr>
            <xdr:cNvPr id="150" name="Picture 149">
              <a:extLst>
                <a:ext uri="{FF2B5EF4-FFF2-40B4-BE49-F238E27FC236}">
                  <a16:creationId xmlns:a16="http://schemas.microsoft.com/office/drawing/2014/main" xmlns="" id="{14875EB6-F82D-4A74-8D06-7F628CFF2A0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2575500" y="14077950"/>
              <a:ext cx="1254190" cy="1436866"/>
            </a:xfrm>
            <a:prstGeom prst="rect">
              <a:avLst/>
            </a:prstGeom>
          </xdr:spPr>
        </xdr:pic>
        <xdr:pic>
          <xdr:nvPicPr>
            <xdr:cNvPr id="151" name="Picture 150">
              <a:extLst>
                <a:ext uri="{FF2B5EF4-FFF2-40B4-BE49-F238E27FC236}">
                  <a16:creationId xmlns:a16="http://schemas.microsoft.com/office/drawing/2014/main" xmlns="" id="{962D6DC3-F02D-42C8-8D39-252F6E6441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2632650" y="15659100"/>
              <a:ext cx="1254190" cy="1436866"/>
            </a:xfrm>
            <a:prstGeom prst="rect">
              <a:avLst/>
            </a:prstGeom>
          </xdr:spPr>
        </xdr:pic>
        <xdr:sp macro="" textlink="Entry!F76">
          <xdr:nvSpPr>
            <xdr:cNvPr id="152" name="Rectangle 151">
              <a:extLst>
                <a:ext uri="{FF2B5EF4-FFF2-40B4-BE49-F238E27FC236}">
                  <a16:creationId xmlns:a16="http://schemas.microsoft.com/office/drawing/2014/main" xmlns="" id="{5421C893-40FF-4307-8586-C0129DFE2B35}"/>
                </a:ext>
              </a:extLst>
            </xdr:cNvPr>
            <xdr:cNvSpPr/>
          </xdr:nvSpPr>
          <xdr:spPr>
            <a:xfrm>
              <a:off x="33966151" y="14230350"/>
              <a:ext cx="2628900" cy="742950"/>
            </a:xfrm>
            <a:prstGeom prst="rect">
              <a:avLst/>
            </a:prstGeom>
            <a:ln w="28575">
              <a:solidFill>
                <a:srgbClr val="92D05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b"/>
            <a:lstStyle/>
            <a:p>
              <a:pPr algn="ctr"/>
              <a:fld id="{BC2136E6-E6CD-44A7-A052-C7ECFB048E79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ctr"/>
                <a:t>9736</a:t>
              </a:fld>
              <a:r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t> Trees</a:t>
              </a:r>
              <a:endParaRPr lang="en-US" sz="1800" b="1">
                <a:latin typeface="Univers for KPMG" panose="020B0603020202020204" pitchFamily="34" charset="0"/>
              </a:endParaRPr>
            </a:p>
          </xdr:txBody>
        </xdr: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xmlns="" id="{29C8DAE4-B387-4BE5-986A-3A2F1443625F}"/>
                </a:ext>
              </a:extLst>
            </xdr:cNvPr>
            <xdr:cNvSpPr txBox="1"/>
          </xdr:nvSpPr>
          <xdr:spPr>
            <a:xfrm>
              <a:off x="33966151" y="14249399"/>
              <a:ext cx="2647950" cy="3810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000" b="0">
                  <a:latin typeface="Univers for KPMG" panose="020B0603020202020204" pitchFamily="34" charset="0"/>
                </a:rPr>
                <a:t>Pre EV induction</a:t>
              </a:r>
            </a:p>
          </xdr:txBody>
        </xdr:sp>
        <xdr:sp macro="" textlink="Entry!F79">
          <xdr:nvSpPr>
            <xdr:cNvPr id="154" name="Rectangle 153">
              <a:extLst>
                <a:ext uri="{FF2B5EF4-FFF2-40B4-BE49-F238E27FC236}">
                  <a16:creationId xmlns:a16="http://schemas.microsoft.com/office/drawing/2014/main" xmlns="" id="{FFC90D93-FA7E-48D0-9DEB-0BD2FD4C078B}"/>
                </a:ext>
              </a:extLst>
            </xdr:cNvPr>
            <xdr:cNvSpPr/>
          </xdr:nvSpPr>
          <xdr:spPr>
            <a:xfrm>
              <a:off x="33985201" y="15982950"/>
              <a:ext cx="2628900" cy="742950"/>
            </a:xfrm>
            <a:prstGeom prst="rect">
              <a:avLst/>
            </a:prstGeom>
            <a:ln w="28575">
              <a:solidFill>
                <a:srgbClr val="92D05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b"/>
            <a:lstStyle/>
            <a:p>
              <a:pPr algn="ctr"/>
              <a:fld id="{9336A0D9-A521-4D3A-9739-6A7747952A7C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ctr"/>
                <a:t>3749</a:t>
              </a:fld>
              <a:r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t> Trees</a:t>
              </a:r>
              <a:endParaRPr lang="en-US" sz="1800" b="1">
                <a:latin typeface="Univers for KPMG" panose="020B0603020202020204" pitchFamily="34" charset="0"/>
              </a:endParaRPr>
            </a:p>
          </xdr:txBody>
        </xdr:sp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xmlns="" id="{63E0DCC2-F75D-40F6-B41A-074F1B7E7244}"/>
                </a:ext>
              </a:extLst>
            </xdr:cNvPr>
            <xdr:cNvSpPr txBox="1"/>
          </xdr:nvSpPr>
          <xdr:spPr>
            <a:xfrm>
              <a:off x="33947101" y="16021049"/>
              <a:ext cx="2647950" cy="3810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000" b="0">
                  <a:latin typeface="Univers for KPMG" panose="020B0603020202020204" pitchFamily="34" charset="0"/>
                </a:rPr>
                <a:t>Post EV induction</a:t>
              </a:r>
            </a:p>
          </xdr:txBody>
        </xdr:sp>
      </xdr:grpSp>
    </xdr:grpSp>
    <xdr:clientData/>
  </xdr:twoCellAnchor>
  <xdr:twoCellAnchor>
    <xdr:from>
      <xdr:col>29</xdr:col>
      <xdr:colOff>18030</xdr:colOff>
      <xdr:row>29</xdr:row>
      <xdr:rowOff>0</xdr:rowOff>
    </xdr:from>
    <xdr:to>
      <xdr:col>39</xdr:col>
      <xdr:colOff>57150</xdr:colOff>
      <xdr:row>39</xdr:row>
      <xdr:rowOff>108391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DE671682-F3FB-4207-9314-8193C74951A5}"/>
            </a:ext>
          </a:extLst>
        </xdr:cNvPr>
        <xdr:cNvGrpSpPr/>
      </xdr:nvGrpSpPr>
      <xdr:grpSpPr>
        <a:xfrm>
          <a:off x="43708791" y="7412935"/>
          <a:ext cx="6044011" cy="2261869"/>
          <a:chOff x="43571093" y="7524750"/>
          <a:chExt cx="6230370" cy="2299141"/>
        </a:xfrm>
      </xdr:grpSpPr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xmlns="" id="{9B714A30-33E5-497D-8335-109560C769D2}"/>
              </a:ext>
            </a:extLst>
          </xdr:cNvPr>
          <xdr:cNvSpPr txBox="1"/>
        </xdr:nvSpPr>
        <xdr:spPr>
          <a:xfrm>
            <a:off x="43571093" y="7524750"/>
            <a:ext cx="6230370" cy="39660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/>
              <a:t>COMPARISON OF MONTHLY COSTS PRE/POST EV INDUCTION</a:t>
            </a:r>
          </a:p>
        </xdr:txBody>
      </xdr:sp>
      <xdr:grpSp>
        <xdr:nvGrpSpPr>
          <xdr:cNvPr id="103" name="Group 102">
            <a:extLst>
              <a:ext uri="{FF2B5EF4-FFF2-40B4-BE49-F238E27FC236}">
                <a16:creationId xmlns:a16="http://schemas.microsoft.com/office/drawing/2014/main" xmlns="" id="{025E1ADD-20A9-446F-A78D-156867CF01AC}"/>
              </a:ext>
            </a:extLst>
          </xdr:cNvPr>
          <xdr:cNvGrpSpPr/>
        </xdr:nvGrpSpPr>
        <xdr:grpSpPr>
          <a:xfrm>
            <a:off x="48427915" y="8438129"/>
            <a:ext cx="1373547" cy="824113"/>
            <a:chOff x="19261376" y="8164283"/>
            <a:chExt cx="1436829" cy="733915"/>
          </a:xfrm>
        </xdr:grpSpPr>
        <xdr:sp macro="" textlink="Entry!C70">
          <xdr:nvSpPr>
            <xdr:cNvPr id="104" name="Rectangle 103">
              <a:extLst>
                <a:ext uri="{FF2B5EF4-FFF2-40B4-BE49-F238E27FC236}">
                  <a16:creationId xmlns:a16="http://schemas.microsoft.com/office/drawing/2014/main" xmlns="" id="{BFEC6F7B-A30B-47F2-84C8-E8F86A36B84A}"/>
                </a:ext>
              </a:extLst>
            </xdr:cNvPr>
            <xdr:cNvSpPr/>
          </xdr:nvSpPr>
          <xdr:spPr>
            <a:xfrm>
              <a:off x="19261376" y="8164283"/>
              <a:ext cx="1436829" cy="733915"/>
            </a:xfrm>
            <a:prstGeom prst="rect">
              <a:avLst/>
            </a:prstGeom>
            <a:ln w="28575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DB97E610-66FD-4C37-A813-B7078CFAC5C5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r"/>
                <a:t>#VALUE!</a:t>
              </a:fld>
              <a:r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t> </a:t>
              </a:r>
              <a:endParaRPr lang="en-US" sz="1800" b="1">
                <a:latin typeface="Univers for KPMG" panose="020B0603020202020204" pitchFamily="34" charset="0"/>
              </a:endParaRPr>
            </a:p>
          </xdr:txBody>
        </xdr:sp>
        <xdr:sp macro="" textlink="">
          <xdr:nvSpPr>
            <xdr:cNvPr id="105" name="Arrow: Up 104">
              <a:extLst>
                <a:ext uri="{FF2B5EF4-FFF2-40B4-BE49-F238E27FC236}">
                  <a16:creationId xmlns:a16="http://schemas.microsoft.com/office/drawing/2014/main" xmlns="" id="{3A3BF77E-1411-46A8-851B-7CFFAF47E4AE}"/>
                </a:ext>
              </a:extLst>
            </xdr:cNvPr>
            <xdr:cNvSpPr/>
          </xdr:nvSpPr>
          <xdr:spPr>
            <a:xfrm>
              <a:off x="19398198" y="8327572"/>
              <a:ext cx="190500" cy="380999"/>
            </a:xfrm>
            <a:prstGeom prst="upArrow">
              <a:avLst/>
            </a:prstGeom>
            <a:solidFill>
              <a:schemeClr val="bg2">
                <a:lumMod val="7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030" name="Group 1029">
            <a:extLst>
              <a:ext uri="{FF2B5EF4-FFF2-40B4-BE49-F238E27FC236}">
                <a16:creationId xmlns:a16="http://schemas.microsoft.com/office/drawing/2014/main" xmlns="" id="{E1A40D60-C566-4490-B354-EFA722077697}"/>
              </a:ext>
            </a:extLst>
          </xdr:cNvPr>
          <xdr:cNvGrpSpPr/>
        </xdr:nvGrpSpPr>
        <xdr:grpSpPr>
          <a:xfrm>
            <a:off x="43587005" y="8121707"/>
            <a:ext cx="4010266" cy="1702184"/>
            <a:chOff x="45028215" y="9848850"/>
            <a:chExt cx="4216036" cy="1716985"/>
          </a:xfrm>
        </xdr:grpSpPr>
        <xdr:sp macro="" textlink="Entry!C69">
          <xdr:nvSpPr>
            <xdr:cNvPr id="181" name="Rectangle 180">
              <a:extLst>
                <a:ext uri="{FF2B5EF4-FFF2-40B4-BE49-F238E27FC236}">
                  <a16:creationId xmlns:a16="http://schemas.microsoft.com/office/drawing/2014/main" xmlns="" id="{3C7B918D-4B0E-4D5E-A0E4-48FFBFF288B8}"/>
                </a:ext>
              </a:extLst>
            </xdr:cNvPr>
            <xdr:cNvSpPr/>
          </xdr:nvSpPr>
          <xdr:spPr>
            <a:xfrm>
              <a:off x="45051960" y="9848850"/>
              <a:ext cx="4191000" cy="742950"/>
            </a:xfrm>
            <a:prstGeom prst="rect">
              <a:avLst/>
            </a:prstGeom>
            <a:ln w="28575">
              <a:solidFill>
                <a:schemeClr val="accent2">
                  <a:lumMod val="60000"/>
                  <a:lumOff val="40000"/>
                </a:schemeClr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F4016809-B9BB-4B2D-ABC2-3B1E84703CD7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r"/>
                <a:t>#VALUE!</a:t>
              </a:fld>
              <a:endParaRPr lang="en-US" sz="1800" b="0" i="0" u="none" strike="noStrike">
                <a:solidFill>
                  <a:srgbClr val="000000"/>
                </a:solidFill>
                <a:latin typeface="Univers for KPMG" panose="020B0603020202020204" pitchFamily="34" charset="0"/>
                <a:cs typeface="Calibri"/>
              </a:endParaRPr>
            </a:p>
          </xdr:txBody>
        </xdr:sp>
        <xdr:grpSp>
          <xdr:nvGrpSpPr>
            <xdr:cNvPr id="1029" name="Group 1028">
              <a:extLst>
                <a:ext uri="{FF2B5EF4-FFF2-40B4-BE49-F238E27FC236}">
                  <a16:creationId xmlns:a16="http://schemas.microsoft.com/office/drawing/2014/main" xmlns="" id="{D360DE2C-EB4F-4DD2-94B4-00CA1D33E0F6}"/>
                </a:ext>
              </a:extLst>
            </xdr:cNvPr>
            <xdr:cNvGrpSpPr/>
          </xdr:nvGrpSpPr>
          <xdr:grpSpPr>
            <a:xfrm>
              <a:off x="45028215" y="10020300"/>
              <a:ext cx="4216036" cy="1545535"/>
              <a:chOff x="45028215" y="10020300"/>
              <a:chExt cx="4216036" cy="1545535"/>
            </a:xfrm>
          </xdr:grpSpPr>
          <xdr:sp macro="" textlink="Entry!C22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xmlns="" id="{D6E61BC0-FE6C-4BAA-AFE1-329A6A2F6644}"/>
                  </a:ext>
                </a:extLst>
              </xdr:cNvPr>
              <xdr:cNvSpPr/>
            </xdr:nvSpPr>
            <xdr:spPr>
              <a:xfrm>
                <a:off x="45053250" y="10822885"/>
                <a:ext cx="4191001" cy="742950"/>
              </a:xfrm>
              <a:prstGeom prst="rect">
                <a:avLst/>
              </a:prstGeom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r"/>
                <a:fld id="{74F1277E-F710-43F3-94BD-851089278FBD}" type="TxLink">
                  <a:rPr lang="en-US" sz="1800" b="0" i="0" u="none" strike="noStrike">
                    <a:solidFill>
                      <a:srgbClr val="000000"/>
                    </a:solidFill>
                    <a:latin typeface="Univers for KPMG"/>
                    <a:cs typeface="Calibri"/>
                  </a:rPr>
                  <a:pPr algn="r"/>
                  <a:t> ₹5,000,000 </a:t>
                </a:fld>
                <a:endPara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endParaRPr>
              </a:p>
            </xdr:txBody>
          </xdr:sp>
          <xdr:sp macro="" textlink="">
            <xdr:nvSpPr>
              <xdr:cNvPr id="180" name="TextBox 179">
                <a:extLst>
                  <a:ext uri="{FF2B5EF4-FFF2-40B4-BE49-F238E27FC236}">
                    <a16:creationId xmlns:a16="http://schemas.microsoft.com/office/drawing/2014/main" xmlns="" id="{8449A919-CAFE-4595-A6F2-A4389BB0A005}"/>
                  </a:ext>
                </a:extLst>
              </xdr:cNvPr>
              <xdr:cNvSpPr txBox="1"/>
            </xdr:nvSpPr>
            <xdr:spPr>
              <a:xfrm>
                <a:off x="45028215" y="10999304"/>
                <a:ext cx="2647950" cy="38100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2000" b="0">
                    <a:latin typeface="Univers for KPMG" panose="020B0603020202020204" pitchFamily="34" charset="0"/>
                  </a:rPr>
                  <a:t>Pre EV induction :</a:t>
                </a:r>
              </a:p>
            </xdr:txBody>
          </xdr:sp>
          <xdr:sp macro="" textlink="">
            <xdr:nvSpPr>
              <xdr:cNvPr id="182" name="TextBox 181">
                <a:extLst>
                  <a:ext uri="{FF2B5EF4-FFF2-40B4-BE49-F238E27FC236}">
                    <a16:creationId xmlns:a16="http://schemas.microsoft.com/office/drawing/2014/main" xmlns="" id="{6B340249-8D38-41C0-956B-461AD9639F8A}"/>
                  </a:ext>
                </a:extLst>
              </xdr:cNvPr>
              <xdr:cNvSpPr txBox="1"/>
            </xdr:nvSpPr>
            <xdr:spPr>
              <a:xfrm>
                <a:off x="45072300" y="10020300"/>
                <a:ext cx="2647950" cy="38100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2000" b="0">
                    <a:latin typeface="Univers for KPMG" panose="020B0603020202020204" pitchFamily="34" charset="0"/>
                  </a:rPr>
                  <a:t>Post EV induction :</a:t>
                </a:r>
              </a:p>
            </xdr:txBody>
          </xdr:sp>
        </xdr:grpSp>
      </xdr:grpSp>
    </xdr:grpSp>
    <xdr:clientData/>
  </xdr:twoCellAnchor>
  <xdr:twoCellAnchor>
    <xdr:from>
      <xdr:col>27</xdr:col>
      <xdr:colOff>463767</xdr:colOff>
      <xdr:row>7</xdr:row>
      <xdr:rowOff>38099</xdr:rowOff>
    </xdr:from>
    <xdr:to>
      <xdr:col>42</xdr:col>
      <xdr:colOff>43681</xdr:colOff>
      <xdr:row>22</xdr:row>
      <xdr:rowOff>146385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CBA189ED-47BE-4380-B979-894E3AEB8D99}"/>
            </a:ext>
          </a:extLst>
        </xdr:cNvPr>
        <xdr:cNvGrpSpPr/>
      </xdr:nvGrpSpPr>
      <xdr:grpSpPr>
        <a:xfrm>
          <a:off x="42953550" y="1342610"/>
          <a:ext cx="8587251" cy="4001112"/>
          <a:chOff x="43135767" y="1443037"/>
          <a:chExt cx="8866789" cy="4061161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xmlns="" id="{B394B4EE-A39B-4A82-BE65-420038123B75}"/>
              </a:ext>
            </a:extLst>
          </xdr:cNvPr>
          <xdr:cNvGrpSpPr/>
        </xdr:nvGrpSpPr>
        <xdr:grpSpPr>
          <a:xfrm>
            <a:off x="43135767" y="1443037"/>
            <a:ext cx="8866789" cy="3258556"/>
            <a:chOff x="21866679" y="6372896"/>
            <a:chExt cx="6167278" cy="2132432"/>
          </a:xfrm>
        </xdr:grpSpPr>
        <xdr:sp macro="" textlink="Entry!F40">
          <xdr:nvSpPr>
            <xdr:cNvPr id="39" name="Rectangle 38">
              <a:extLst>
                <a:ext uri="{FF2B5EF4-FFF2-40B4-BE49-F238E27FC236}">
                  <a16:creationId xmlns:a16="http://schemas.microsoft.com/office/drawing/2014/main" xmlns="" id="{5C5FB058-ADB9-4AF0-B19A-D6F23F6B0919}"/>
                </a:ext>
              </a:extLst>
            </xdr:cNvPr>
            <xdr:cNvSpPr/>
          </xdr:nvSpPr>
          <xdr:spPr>
            <a:xfrm>
              <a:off x="21921108" y="6681108"/>
              <a:ext cx="5839564" cy="518104"/>
            </a:xfrm>
            <a:prstGeom prst="rect">
              <a:avLst/>
            </a:prstGeom>
            <a:ln w="28575">
              <a:solidFill>
                <a:schemeClr val="accent2">
                  <a:lumMod val="60000"/>
                  <a:lumOff val="40000"/>
                </a:schemeClr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A62CAA75-CCF5-495F-9E14-9FF9C855188F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r"/>
                <a:t>103</a:t>
              </a:fld>
              <a:endParaRPr lang="en-US" sz="1800" b="1">
                <a:latin typeface="Univers for KPMG" panose="020B0603020202020204" pitchFamily="34" charset="0"/>
              </a:endParaRP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xmlns="" id="{7B8D7D3C-7546-4194-AB53-8239DFCD3543}"/>
                </a:ext>
              </a:extLst>
            </xdr:cNvPr>
            <xdr:cNvSpPr txBox="1"/>
          </xdr:nvSpPr>
          <xdr:spPr>
            <a:xfrm>
              <a:off x="22016535" y="6795564"/>
              <a:ext cx="5528658" cy="58510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2000" b="0">
                  <a:latin typeface="Univers for KPMG" panose="020B0603020202020204" pitchFamily="34" charset="0"/>
                </a:rPr>
                <a:t>Total number of Electric vehicles to be</a:t>
              </a:r>
              <a:r>
                <a:rPr lang="en-US" sz="2000" b="0" baseline="0">
                  <a:latin typeface="Univers for KPMG" panose="020B0603020202020204" pitchFamily="34" charset="0"/>
                </a:rPr>
                <a:t> </a:t>
              </a:r>
              <a:r>
                <a:rPr lang="en-US" sz="2000" b="0">
                  <a:latin typeface="Univers for KPMG" panose="020B0603020202020204" pitchFamily="34" charset="0"/>
                </a:rPr>
                <a:t>introduced in the fleet :</a:t>
              </a:r>
            </a:p>
          </xdr:txBody>
        </xdr:sp>
        <xdr:sp macro="" textlink="Entry!D51">
          <xdr:nvSpPr>
            <xdr:cNvPr id="41" name="Rectangle 40">
              <a:extLst>
                <a:ext uri="{FF2B5EF4-FFF2-40B4-BE49-F238E27FC236}">
                  <a16:creationId xmlns:a16="http://schemas.microsoft.com/office/drawing/2014/main" xmlns="" id="{66D1CE13-157C-43F6-A3F7-49E9D51A67C5}"/>
                </a:ext>
              </a:extLst>
            </xdr:cNvPr>
            <xdr:cNvSpPr/>
          </xdr:nvSpPr>
          <xdr:spPr>
            <a:xfrm>
              <a:off x="22455123" y="7260876"/>
              <a:ext cx="4776106" cy="483705"/>
            </a:xfrm>
            <a:prstGeom prst="rect">
              <a:avLst/>
            </a:prstGeom>
            <a:ln w="28575">
              <a:solidFill>
                <a:schemeClr val="accent2">
                  <a:lumMod val="60000"/>
                  <a:lumOff val="40000"/>
                </a:schemeClr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25711B98-D2F8-489C-B933-2B147ACFFC17}" type="TxLink">
                <a:rPr lang="en-US" sz="1800" b="0" i="0" u="none" strike="noStrike">
                  <a:solidFill>
                    <a:srgbClr val="000000"/>
                  </a:solidFill>
                  <a:latin typeface="Univers for KPMG"/>
                  <a:cs typeface="Calibri"/>
                </a:rPr>
                <a:pPr algn="r"/>
                <a:t>0</a:t>
              </a:fld>
              <a:endParaRPr lang="en-US" sz="1800" b="0" i="0" u="none" strike="noStrike">
                <a:solidFill>
                  <a:srgbClr val="000000"/>
                </a:solidFill>
                <a:latin typeface="Univers for KPMG" panose="020B0603020202020204" pitchFamily="34" charset="0"/>
                <a:cs typeface="Calibri"/>
              </a:endParaRP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xmlns="" id="{38252417-B647-469F-B1B4-48F059466605}"/>
                </a:ext>
              </a:extLst>
            </xdr:cNvPr>
            <xdr:cNvSpPr txBox="1"/>
          </xdr:nvSpPr>
          <xdr:spPr>
            <a:xfrm>
              <a:off x="22523062" y="7381141"/>
              <a:ext cx="5510895" cy="26803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2000" b="0">
                  <a:latin typeface="Univers for KPMG" panose="020B0603020202020204" pitchFamily="34" charset="0"/>
                </a:rPr>
                <a:t>Total number of AC Charging</a:t>
              </a:r>
              <a:r>
                <a:rPr lang="en-US" sz="2000" b="0" baseline="0">
                  <a:latin typeface="Univers for KPMG" panose="020B0603020202020204" pitchFamily="34" charset="0"/>
                </a:rPr>
                <a:t> units to be required </a:t>
              </a:r>
              <a:r>
                <a:rPr lang="en-US" sz="2000" b="0">
                  <a:latin typeface="Univers for KPMG" panose="020B0603020202020204" pitchFamily="34" charset="0"/>
                </a:rPr>
                <a:t>:</a:t>
              </a:r>
            </a:p>
          </xdr:txBody>
        </xdr:sp>
        <xdr:sp macro="" textlink="Entry!D54">
          <xdr:nvSpPr>
            <xdr:cNvPr id="43" name="Rectangle 42">
              <a:extLst>
                <a:ext uri="{FF2B5EF4-FFF2-40B4-BE49-F238E27FC236}">
                  <a16:creationId xmlns:a16="http://schemas.microsoft.com/office/drawing/2014/main" xmlns="" id="{DBE83000-2AF8-4604-9C03-8254D64E4CE6}"/>
                </a:ext>
              </a:extLst>
            </xdr:cNvPr>
            <xdr:cNvSpPr/>
          </xdr:nvSpPr>
          <xdr:spPr>
            <a:xfrm>
              <a:off x="22441559" y="7805276"/>
              <a:ext cx="4776106" cy="491600"/>
            </a:xfrm>
            <a:prstGeom prst="rect">
              <a:avLst/>
            </a:prstGeom>
            <a:ln w="28575">
              <a:solidFill>
                <a:schemeClr val="accent2">
                  <a:lumMod val="60000"/>
                  <a:lumOff val="40000"/>
                </a:schemeClr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D5927B83-CA0B-4501-A733-0DBA68D5FBA5}" type="TxLink">
                <a:rPr lang="en-US" sz="1800" b="0" i="0" u="none" strike="noStrike">
                  <a:solidFill>
                    <a:srgbClr val="000000"/>
                  </a:solidFill>
                  <a:latin typeface="Univers for KPMG" panose="020B0603020202020204" pitchFamily="34" charset="0"/>
                  <a:cs typeface="Calibri"/>
                </a:rPr>
                <a:pPr algn="r"/>
                <a:t>0</a:t>
              </a:fld>
              <a:endParaRPr lang="en-US" sz="1800" b="0" i="0" u="none" strike="noStrike">
                <a:solidFill>
                  <a:srgbClr val="000000"/>
                </a:solidFill>
                <a:latin typeface="Univers for KPMG" panose="020B0603020202020204" pitchFamily="34" charset="0"/>
                <a:cs typeface="Calibri"/>
              </a:endParaRP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xmlns="" id="{2E62A510-321B-4E7E-84FC-92A97556D65B}"/>
                </a:ext>
              </a:extLst>
            </xdr:cNvPr>
            <xdr:cNvSpPr txBox="1"/>
          </xdr:nvSpPr>
          <xdr:spPr>
            <a:xfrm>
              <a:off x="22522218" y="7920221"/>
              <a:ext cx="5481356" cy="58510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000" b="0">
                  <a:latin typeface="Univers for KPMG" panose="020B0603020202020204" pitchFamily="34" charset="0"/>
                </a:rPr>
                <a:t>Total number of DC Charging</a:t>
              </a:r>
              <a:r>
                <a:rPr lang="en-US" sz="2000" b="0" baseline="0">
                  <a:latin typeface="Univers for KPMG" panose="020B0603020202020204" pitchFamily="34" charset="0"/>
                </a:rPr>
                <a:t> units to be required </a:t>
              </a:r>
              <a:r>
                <a:rPr lang="en-US" sz="2000" b="0">
                  <a:latin typeface="Univers for KPMG" panose="020B0603020202020204" pitchFamily="34" charset="0"/>
                </a:rPr>
                <a:t>:</a:t>
              </a:r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xmlns="" id="{B85ABB5D-942D-4919-8468-E9DD9FA66EF9}"/>
                </a:ext>
              </a:extLst>
            </xdr:cNvPr>
            <xdr:cNvSpPr txBox="1"/>
          </xdr:nvSpPr>
          <xdr:spPr>
            <a:xfrm>
              <a:off x="21866679" y="6372896"/>
              <a:ext cx="5946320" cy="234931"/>
            </a:xfrm>
            <a:prstGeom prst="rect">
              <a:avLst/>
            </a:prstGeom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 b="1"/>
                <a:t>STATISTICS</a:t>
              </a:r>
              <a:r>
                <a:rPr lang="en-US" sz="1800" b="1" baseline="0"/>
                <a:t> POST EV INDUCTION</a:t>
              </a:r>
              <a:endParaRPr lang="en-US" sz="1800" b="1"/>
            </a:p>
          </xdr:txBody>
        </xdr:sp>
      </xdr:grpSp>
      <xdr:sp macro="" textlink="Entry!D61">
        <xdr:nvSpPr>
          <xdr:cNvPr id="61" name="Rectangle 60">
            <a:extLst>
              <a:ext uri="{FF2B5EF4-FFF2-40B4-BE49-F238E27FC236}">
                <a16:creationId xmlns:a16="http://schemas.microsoft.com/office/drawing/2014/main" xmlns="" id="{1E10BBF4-6C16-4D8C-993D-57449BE99854}"/>
              </a:ext>
            </a:extLst>
          </xdr:cNvPr>
          <xdr:cNvSpPr/>
        </xdr:nvSpPr>
        <xdr:spPr>
          <a:xfrm>
            <a:off x="43969205" y="4467224"/>
            <a:ext cx="6866680" cy="751211"/>
          </a:xfrm>
          <a:prstGeom prst="rect">
            <a:avLst/>
          </a:prstGeom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fld id="{B3CD644D-ACD5-4867-A805-36ED3BAD363B}" type="TxLink">
              <a:rPr lang="en-US" sz="1800" b="0" i="0" u="none" strike="noStrike">
                <a:solidFill>
                  <a:srgbClr val="000000"/>
                </a:solidFill>
                <a:latin typeface="Univers for KPMG"/>
                <a:cs typeface="Calibri"/>
              </a:rPr>
              <a:pPr algn="r"/>
              <a:t>0</a:t>
            </a:fld>
            <a:endParaRPr lang="en-US" sz="1800" b="0" i="0" u="none" strike="noStrike">
              <a:solidFill>
                <a:srgbClr val="000000"/>
              </a:solidFill>
              <a:latin typeface="Univers for KPMG" panose="020B0603020202020204" pitchFamily="34" charset="0"/>
              <a:cs typeface="Calibri"/>
            </a:endParaRP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xmlns="" id="{B9192666-1EF5-4578-9DBF-A396DDF65A06}"/>
              </a:ext>
            </a:extLst>
          </xdr:cNvPr>
          <xdr:cNvSpPr txBox="1"/>
        </xdr:nvSpPr>
        <xdr:spPr>
          <a:xfrm>
            <a:off x="44088268" y="4610100"/>
            <a:ext cx="7880629" cy="8940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0">
                <a:latin typeface="Univers for KPMG" panose="020B0603020202020204" pitchFamily="34" charset="0"/>
              </a:rPr>
              <a:t>Total number of Swapping units to be required</a:t>
            </a:r>
            <a:r>
              <a:rPr lang="en-US" sz="2000" b="0" baseline="0">
                <a:latin typeface="Univers for KPMG" panose="020B0603020202020204" pitchFamily="34" charset="0"/>
              </a:rPr>
              <a:t> :</a:t>
            </a:r>
            <a:endParaRPr lang="en-US" sz="2000" b="0">
              <a:latin typeface="Univers for KPMG" panose="020B0603020202020204" pitchFamily="34" charset="0"/>
            </a:endParaRPr>
          </a:p>
        </xdr:txBody>
      </xdr:sp>
    </xdr:grpSp>
    <xdr:clientData/>
  </xdr:twoCellAnchor>
  <xdr:twoCellAnchor>
    <xdr:from>
      <xdr:col>5</xdr:col>
      <xdr:colOff>1428751</xdr:colOff>
      <xdr:row>55</xdr:row>
      <xdr:rowOff>119063</xdr:rowOff>
    </xdr:from>
    <xdr:to>
      <xdr:col>7</xdr:col>
      <xdr:colOff>147365</xdr:colOff>
      <xdr:row>84</xdr:row>
      <xdr:rowOff>67857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xmlns="" id="{2F139793-A7D2-4FA8-B718-76C430CC8794}"/>
            </a:ext>
          </a:extLst>
        </xdr:cNvPr>
        <xdr:cNvGrpSpPr/>
      </xdr:nvGrpSpPr>
      <xdr:grpSpPr>
        <a:xfrm>
          <a:off x="6750327" y="12791454"/>
          <a:ext cx="6235081" cy="5539555"/>
          <a:chOff x="32398990" y="314746"/>
          <a:chExt cx="4217831" cy="4388739"/>
        </a:xfrm>
      </xdr:grpSpPr>
      <xdr:graphicFrame macro="">
        <xdr:nvGraphicFramePr>
          <xdr:cNvPr id="106" name="Chart 105">
            <a:extLst>
              <a:ext uri="{FF2B5EF4-FFF2-40B4-BE49-F238E27FC236}">
                <a16:creationId xmlns:a16="http://schemas.microsoft.com/office/drawing/2014/main" xmlns="" id="{48864B42-4EC1-4AD3-8B9C-9FC93C96614E}"/>
              </a:ext>
            </a:extLst>
          </xdr:cNvPr>
          <xdr:cNvGraphicFramePr>
            <a:graphicFrameLocks/>
          </xdr:cNvGraphicFramePr>
        </xdr:nvGraphicFramePr>
        <xdr:xfrm>
          <a:off x="32405410" y="934306"/>
          <a:ext cx="4211411" cy="37691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11" name="TextBox 110">
            <a:extLst>
              <a:ext uri="{FF2B5EF4-FFF2-40B4-BE49-F238E27FC236}">
                <a16:creationId xmlns:a16="http://schemas.microsoft.com/office/drawing/2014/main" xmlns="" id="{41026EDF-9D5D-4335-8039-0C7EE33CBC97}"/>
              </a:ext>
            </a:extLst>
          </xdr:cNvPr>
          <xdr:cNvSpPr txBox="1"/>
        </xdr:nvSpPr>
        <xdr:spPr>
          <a:xfrm>
            <a:off x="32398990" y="314746"/>
            <a:ext cx="4204607" cy="589928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baseline="0"/>
              <a:t>Electric vehicle distribution post EV conversion</a:t>
            </a:r>
          </a:p>
        </xdr:txBody>
      </xdr:sp>
    </xdr:grpSp>
    <xdr:clientData/>
  </xdr:twoCellAnchor>
  <xdr:twoCellAnchor>
    <xdr:from>
      <xdr:col>5</xdr:col>
      <xdr:colOff>1414464</xdr:colOff>
      <xdr:row>85</xdr:row>
      <xdr:rowOff>57151</xdr:rowOff>
    </xdr:from>
    <xdr:to>
      <xdr:col>7</xdr:col>
      <xdr:colOff>133078</xdr:colOff>
      <xdr:row>114</xdr:row>
      <xdr:rowOff>53570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xmlns="" id="{4035B8FB-E64F-4D08-980E-DCB57ACD25CA}"/>
            </a:ext>
          </a:extLst>
        </xdr:cNvPr>
        <xdr:cNvGrpSpPr/>
      </xdr:nvGrpSpPr>
      <xdr:grpSpPr>
        <a:xfrm>
          <a:off x="6736040" y="18506662"/>
          <a:ext cx="6235081" cy="5400821"/>
          <a:chOff x="32398990" y="314746"/>
          <a:chExt cx="4217831" cy="4388739"/>
        </a:xfrm>
      </xdr:grpSpPr>
      <xdr:graphicFrame macro="">
        <xdr:nvGraphicFramePr>
          <xdr:cNvPr id="113" name="Chart 112">
            <a:extLst>
              <a:ext uri="{FF2B5EF4-FFF2-40B4-BE49-F238E27FC236}">
                <a16:creationId xmlns:a16="http://schemas.microsoft.com/office/drawing/2014/main" xmlns="" id="{F25340C4-122C-4362-B72E-DC90E6F72D79}"/>
              </a:ext>
            </a:extLst>
          </xdr:cNvPr>
          <xdr:cNvGraphicFramePr>
            <a:graphicFrameLocks/>
          </xdr:cNvGraphicFramePr>
        </xdr:nvGraphicFramePr>
        <xdr:xfrm>
          <a:off x="32405410" y="934306"/>
          <a:ext cx="4211411" cy="37691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xmlns="" id="{F174F11C-8FDA-42FD-8EB1-62132D8D6D81}"/>
              </a:ext>
            </a:extLst>
          </xdr:cNvPr>
          <xdr:cNvSpPr txBox="1"/>
        </xdr:nvSpPr>
        <xdr:spPr>
          <a:xfrm>
            <a:off x="32398990" y="314746"/>
            <a:ext cx="4204607" cy="589928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baseline="0"/>
              <a:t>Trip Distribution with respect to type of electric vehicle </a:t>
            </a:r>
          </a:p>
        </xdr:txBody>
      </xdr:sp>
    </xdr:grpSp>
    <xdr:clientData/>
  </xdr:twoCellAnchor>
  <xdr:twoCellAnchor>
    <xdr:from>
      <xdr:col>5</xdr:col>
      <xdr:colOff>1404938</xdr:colOff>
      <xdr:row>48</xdr:row>
      <xdr:rowOff>166688</xdr:rowOff>
    </xdr:from>
    <xdr:to>
      <xdr:col>7</xdr:col>
      <xdr:colOff>161925</xdr:colOff>
      <xdr:row>52</xdr:row>
      <xdr:rowOff>188834</xdr:rowOff>
    </xdr:to>
    <xdr:sp macro="" textlink="">
      <xdr:nvSpPr>
        <xdr:cNvPr id="115" name="Rectangle: Rounded Corners 114">
          <a:extLst>
            <a:ext uri="{FF2B5EF4-FFF2-40B4-BE49-F238E27FC236}">
              <a16:creationId xmlns:a16="http://schemas.microsoft.com/office/drawing/2014/main" xmlns="" id="{77F845DC-CD87-4274-ABA0-81935ACBF4BC}"/>
            </a:ext>
          </a:extLst>
        </xdr:cNvPr>
        <xdr:cNvSpPr/>
      </xdr:nvSpPr>
      <xdr:spPr>
        <a:xfrm>
          <a:off x="6738938" y="11596688"/>
          <a:ext cx="6257925" cy="831771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100" b="1">
              <a:latin typeface="Univers for KPMG" panose="020B0603020202020204" pitchFamily="34" charset="0"/>
            </a:rPr>
            <a:t>RESULTANT EV MIX AND TRIP DISTRIBUTION POST EV CONVERSION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2424" displayName="Table2424" ref="AK60:AN64" totalsRowShown="0" headerRowDxfId="123" dataDxfId="121" headerRowBorderDxfId="122" tableBorderDxfId="120" totalsRowBorderDxfId="119">
  <tableColumns count="4">
    <tableColumn id="1" name="EV TYPE " dataDxfId="118"/>
    <tableColumn id="2" name="SUV" dataDxfId="117"/>
    <tableColumn id="3" name="Sedan" dataDxfId="116"/>
    <tableColumn id="4" name="Hatchback" dataDxfId="1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4243" displayName="Table24243" ref="AK93:AN97" totalsRowShown="0" headerRowDxfId="114" dataDxfId="112" headerRowBorderDxfId="113" tableBorderDxfId="111" totalsRowBorderDxfId="110">
  <tableColumns count="4">
    <tableColumn id="1" name="EV TYPE " dataDxfId="109"/>
    <tableColumn id="2" name="SUV" dataDxfId="108"/>
    <tableColumn id="3" name="Sedan" dataDxfId="107"/>
    <tableColumn id="4" name="Hatchback" dataDxfId="10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able242435" displayName="Table242435" ref="AK126:AN130" totalsRowShown="0" headerRowDxfId="105" dataDxfId="103" headerRowBorderDxfId="104" tableBorderDxfId="102" totalsRowBorderDxfId="101">
  <tableColumns count="4">
    <tableColumn id="1" name="EV TYPE " dataDxfId="100"/>
    <tableColumn id="2" name="SUV" dataDxfId="99"/>
    <tableColumn id="3" name="Sedan" dataDxfId="98"/>
    <tableColumn id="4" name="Hatchback" dataDxfId="9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F13:I17" totalsRowShown="0" headerRowDxfId="96" dataDxfId="95" dataCellStyle="Currency">
  <tableColumns count="4">
    <tableColumn id="1" name="Short trip _x000a_(upto 30 km)" dataDxfId="94" dataCellStyle="Currency"/>
    <tableColumn id="2" name="Medium Trip _x000a_(greater than 30 km and upto 50 km)" dataDxfId="93" dataCellStyle="Currency"/>
    <tableColumn id="3" name="Long Trip _x000a_(greater than 50km)" dataDxfId="92" dataCellStyle="Currency">
      <calculatedColumnFormula>Entry!E41</calculatedColumnFormula>
    </tableColumn>
    <tableColumn id="4" name="Cumulative" dataDxfId="91" dataCellStyle="Currency">
      <calculatedColumnFormula>SUM(Table3[[#This Row],[Short trip 
(upto 30 km)]:[Long Trip 
(greater than 50km)]])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E26:I31" totalsRowShown="0" headerRowDxfId="90" dataDxfId="89">
  <tableColumns count="5">
    <tableColumn id="1" name="No. of Cars" dataDxfId="88"/>
    <tableColumn id="2" name="Short trip _x000a_(upto 30 km)" dataDxfId="87" dataCellStyle="Currency"/>
    <tableColumn id="3" name="Medium Trip _x000a_(greater than 30 km and upto 50 km)" dataDxfId="86" dataCellStyle="Currency"/>
    <tableColumn id="4" name="Long Trip _x000a_(greater than 50km)" dataDxfId="85" dataCellStyle="Currency"/>
    <tableColumn id="5" name="Cumulative" dataDxfId="84" dataCellStyle="Currency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e38" displayName="Table38" ref="R13:U17" totalsRowShown="0" headerRowDxfId="83" dataDxfId="82" dataCellStyle="Currency">
  <tableColumns count="4">
    <tableColumn id="1" name="Short trip _x000a_(upto 30 km)" dataDxfId="81" dataCellStyle="Currency"/>
    <tableColumn id="2" name="Medium Trip _x000a_(greater than 30 km and upto 50 km)" dataDxfId="80" dataCellStyle="Currency"/>
    <tableColumn id="3" name="Long Trip _x000a_(greater than 50km)" dataDxfId="79" dataCellStyle="Currency">
      <calculatedColumnFormula>Entry!Q31</calculatedColumnFormula>
    </tableColumn>
    <tableColumn id="4" name="Cumulative" dataDxfId="78" dataCellStyle="Currency">
      <calculatedColumnFormula>SUM(Table38[[#This Row],[Short trip 
(upto 30 km)]:[Long Trip 
(greater than 50km)]])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9" name="Table510" displayName="Table510" ref="Q26:U31" totalsRowShown="0" headerRowDxfId="77" dataDxfId="76">
  <tableColumns count="5">
    <tableColumn id="1" name="No. of Trips" dataDxfId="75"/>
    <tableColumn id="2" name="Short trip _x000a_(upto 30 km)" dataDxfId="74" dataCellStyle="Currency"/>
    <tableColumn id="3" name="Medium Trip _x000a_(greater than 30 km and upto 50 km)" dataDxfId="73" dataCellStyle="Currency"/>
    <tableColumn id="4" name="Long Trip _x000a_(greater than 50km)" dataDxfId="72" dataCellStyle="Currency"/>
    <tableColumn id="5" name="Cumulative" dataDxfId="71" dataCellStyle="Currency">
      <calculatedColumnFormula>SUM(Table510[[#This Row],[Short trip 
(upto 30 km)]:[Long Trip 
(greater than 50km)]])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N135"/>
  <sheetViews>
    <sheetView showGridLines="0" tabSelected="1" zoomScale="60" zoomScaleNormal="60" workbookViewId="0">
      <selection activeCell="C3" sqref="C3:E3"/>
    </sheetView>
  </sheetViews>
  <sheetFormatPr defaultRowHeight="15"/>
  <cols>
    <col min="2" max="2" width="71.28515625" customWidth="1"/>
    <col min="3" max="3" width="34.85546875" customWidth="1"/>
    <col min="4" max="4" width="32.7109375" customWidth="1"/>
    <col min="5" max="5" width="28.28515625" customWidth="1"/>
    <col min="6" max="6" width="26.7109375" customWidth="1"/>
    <col min="9" max="9" width="14.85546875" customWidth="1"/>
    <col min="10" max="10" width="39.140625" style="216" customWidth="1"/>
    <col min="11" max="11" width="30.5703125" style="216" customWidth="1"/>
    <col min="12" max="12" width="31.5703125" style="216" customWidth="1"/>
    <col min="13" max="13" width="30.28515625" style="216" customWidth="1"/>
    <col min="14" max="14" width="39.5703125" style="216" customWidth="1"/>
    <col min="15" max="15" width="31.85546875" style="216" customWidth="1"/>
    <col min="16" max="16" width="31.42578125" style="216" customWidth="1"/>
    <col min="17" max="17" width="18.28515625" style="216" customWidth="1"/>
    <col min="18" max="18" width="39.42578125" style="216" customWidth="1"/>
    <col min="19" max="19" width="39.28515625" style="216" customWidth="1"/>
    <col min="20" max="20" width="26.42578125" style="216" customWidth="1"/>
    <col min="21" max="21" width="9.140625" style="216"/>
    <col min="35" max="35" width="205.7109375" customWidth="1"/>
    <col min="36" max="36" width="15" customWidth="1"/>
    <col min="37" max="37" width="25.7109375" style="31" customWidth="1"/>
    <col min="38" max="38" width="29.42578125" style="31" customWidth="1"/>
    <col min="39" max="40" width="23.140625" style="31" customWidth="1"/>
    <col min="41" max="41" width="20.85546875" style="31" customWidth="1"/>
    <col min="42" max="42" width="23.42578125" style="31" customWidth="1"/>
    <col min="43" max="43" width="19.85546875" style="31" customWidth="1"/>
    <col min="44" max="44" width="21" style="31" customWidth="1"/>
    <col min="45" max="45" width="16" style="31" customWidth="1"/>
    <col min="46" max="46" width="12.28515625" style="31" customWidth="1"/>
    <col min="47" max="47" width="11.42578125" style="31" customWidth="1"/>
    <col min="48" max="48" width="9.140625" style="31"/>
    <col min="49" max="49" width="25.42578125" style="31" customWidth="1"/>
    <col min="50" max="50" width="9.140625" style="31"/>
    <col min="51" max="51" width="11.7109375" style="31" customWidth="1"/>
    <col min="52" max="52" width="9.140625" style="31"/>
    <col min="53" max="53" width="11.85546875" style="31" customWidth="1"/>
    <col min="54" max="54" width="9.140625" style="31"/>
    <col min="55" max="55" width="23.7109375" style="31" customWidth="1"/>
    <col min="56" max="56" width="13.5703125" style="31" bestFit="1" customWidth="1"/>
    <col min="57" max="57" width="15.28515625" style="31" customWidth="1"/>
    <col min="58" max="58" width="13.85546875" style="31" customWidth="1"/>
    <col min="59" max="59" width="16.42578125" style="31" customWidth="1"/>
    <col min="60" max="60" width="14.85546875" style="31" customWidth="1"/>
    <col min="61" max="61" width="12.85546875" style="31" customWidth="1"/>
    <col min="62" max="62" width="14.28515625" customWidth="1"/>
    <col min="63" max="63" width="15.140625" customWidth="1"/>
    <col min="64" max="64" width="13.7109375" customWidth="1"/>
    <col min="65" max="66" width="13.85546875" customWidth="1"/>
  </cols>
  <sheetData>
    <row r="2" spans="2:65" ht="34.5" customHeight="1">
      <c r="B2" s="451" t="s">
        <v>161</v>
      </c>
      <c r="C2" s="451"/>
      <c r="D2" s="451"/>
      <c r="E2" s="451"/>
      <c r="AL2" s="39">
        <f>(C9)/C10</f>
        <v>160</v>
      </c>
      <c r="BC2" s="37"/>
      <c r="BD2" s="38" t="s">
        <v>128</v>
      </c>
      <c r="BE2" s="38" t="s">
        <v>129</v>
      </c>
      <c r="BF2" s="38" t="s">
        <v>130</v>
      </c>
      <c r="BG2" s="17" t="s">
        <v>43</v>
      </c>
      <c r="BH2" s="37"/>
    </row>
    <row r="3" spans="2:65" ht="32.25" customHeight="1">
      <c r="B3" s="139" t="s">
        <v>0</v>
      </c>
      <c r="C3" s="468" t="s">
        <v>574</v>
      </c>
      <c r="D3" s="469"/>
      <c r="E3" s="470"/>
      <c r="AL3" s="39">
        <f>AL2/(4*C12+7*D12+12*E12)</f>
        <v>29.143897996357016</v>
      </c>
      <c r="BC3" s="40" t="s">
        <v>131</v>
      </c>
      <c r="BD3" s="41">
        <f>AL13*$C$6*$C$4</f>
        <v>529300</v>
      </c>
      <c r="BE3" s="41">
        <f>AM13*$C$6*$C$4</f>
        <v>181699.99999999997</v>
      </c>
      <c r="BF3" s="41">
        <f>AN13*$C$6*$C$4</f>
        <v>78999.999999999956</v>
      </c>
      <c r="BG3" s="41">
        <f>SUM(BD3:BF3)</f>
        <v>790000</v>
      </c>
      <c r="BH3" s="37"/>
      <c r="BM3" t="s">
        <v>478</v>
      </c>
    </row>
    <row r="4" spans="2:65" ht="33.75" customHeight="1">
      <c r="B4" s="140" t="s">
        <v>8</v>
      </c>
      <c r="C4" s="471">
        <v>22</v>
      </c>
      <c r="D4" s="472"/>
      <c r="E4" s="473"/>
      <c r="J4" s="451" t="s">
        <v>120</v>
      </c>
      <c r="K4" s="451"/>
      <c r="L4" s="434"/>
      <c r="M4" s="434"/>
      <c r="N4" s="434"/>
      <c r="O4" s="434"/>
      <c r="P4" s="434"/>
      <c r="AK4" s="31" t="s">
        <v>499</v>
      </c>
      <c r="AL4" s="31">
        <f>C28*$P$16</f>
        <v>6.8000000000000007</v>
      </c>
      <c r="AM4" s="31">
        <f>D28*$P$16</f>
        <v>6.8000000000000007</v>
      </c>
      <c r="AN4" s="304">
        <f>C13-AT35-AS35</f>
        <v>6</v>
      </c>
      <c r="BC4" s="40" t="s">
        <v>132</v>
      </c>
      <c r="BD4" s="41">
        <f>BA19</f>
        <v>129</v>
      </c>
      <c r="BE4" s="41">
        <f>BA20</f>
        <v>42</v>
      </c>
      <c r="BF4" s="41">
        <f>BA21</f>
        <v>12.863387978142093</v>
      </c>
      <c r="BG4" s="41">
        <f>SUM(BD4:BF4)</f>
        <v>183.8633879781421</v>
      </c>
      <c r="BH4" s="37"/>
      <c r="BM4" t="s">
        <v>173</v>
      </c>
    </row>
    <row r="5" spans="2:65" ht="30.75" customHeight="1">
      <c r="B5" s="139" t="s">
        <v>9</v>
      </c>
      <c r="C5" s="468">
        <v>11</v>
      </c>
      <c r="D5" s="469"/>
      <c r="E5" s="470"/>
      <c r="J5" s="188" t="s">
        <v>121</v>
      </c>
      <c r="K5" s="189" t="str">
        <f>$AR$30 &amp;" "&amp; AT20</f>
        <v>Shift 3</v>
      </c>
      <c r="L5" s="434"/>
      <c r="M5" s="434"/>
      <c r="N5" s="434"/>
      <c r="O5" s="434"/>
      <c r="P5" s="434"/>
      <c r="Q5" s="435"/>
      <c r="R5" s="435"/>
      <c r="S5" s="435"/>
      <c r="T5" s="435"/>
      <c r="AK5" s="31" t="s">
        <v>497</v>
      </c>
      <c r="AL5" s="39">
        <f>C12*$AL$3</f>
        <v>19.526411657559201</v>
      </c>
      <c r="AM5" s="39">
        <f>D12*$AL$3</f>
        <v>6.7030965391621136</v>
      </c>
      <c r="AN5" s="39">
        <f>AL3-AS30-AT30</f>
        <v>2.1438979963570155</v>
      </c>
      <c r="AQ5" s="272"/>
      <c r="AR5" s="272" t="s">
        <v>53</v>
      </c>
      <c r="AS5" s="272" t="s">
        <v>54</v>
      </c>
      <c r="AT5" s="272" t="s">
        <v>55</v>
      </c>
      <c r="BC5" s="40" t="s">
        <v>133</v>
      </c>
      <c r="BD5" s="41">
        <f>(F46+F47)*$C$4</f>
        <v>4356</v>
      </c>
      <c r="BE5" s="41">
        <f>(F48*$C$4)</f>
        <v>1320</v>
      </c>
      <c r="BF5" s="41">
        <f>(F49)*$C$4</f>
        <v>282.99453551912603</v>
      </c>
      <c r="BG5" s="41">
        <f>SUM(BD5:BF5)</f>
        <v>5958.9945355191257</v>
      </c>
      <c r="BH5" s="37"/>
    </row>
    <row r="6" spans="2:65" ht="34.5" customHeight="1">
      <c r="B6" s="139" t="s">
        <v>10</v>
      </c>
      <c r="C6" s="468">
        <v>12</v>
      </c>
      <c r="D6" s="469"/>
      <c r="E6" s="470"/>
      <c r="J6" s="188" t="s">
        <v>122</v>
      </c>
      <c r="K6" s="189" t="str">
        <f>$AR$30 &amp;" "&amp; AT21</f>
        <v>Shift 4</v>
      </c>
      <c r="L6" s="434"/>
      <c r="M6" s="434"/>
      <c r="N6" s="434"/>
      <c r="O6" s="434"/>
      <c r="P6" s="434"/>
      <c r="Q6" s="436"/>
      <c r="R6" s="436"/>
      <c r="S6" s="436"/>
      <c r="T6" s="7"/>
      <c r="AK6" s="31" t="s">
        <v>498</v>
      </c>
      <c r="AL6" s="39">
        <f>C15*$AL$3</f>
        <v>13.406193078324227</v>
      </c>
      <c r="AM6" s="39">
        <f>D15*$AL$3</f>
        <v>10.783242258652095</v>
      </c>
      <c r="AN6" s="39">
        <f>AL3-AS31-AT31</f>
        <v>4.1438979963570155</v>
      </c>
      <c r="AQ6" s="272" t="s">
        <v>56</v>
      </c>
      <c r="AR6" s="272">
        <v>20</v>
      </c>
      <c r="AS6" s="272">
        <v>40</v>
      </c>
      <c r="AT6" s="272">
        <f>C21</f>
        <v>100</v>
      </c>
      <c r="BC6" s="37"/>
      <c r="BD6" s="37"/>
      <c r="BE6" s="37"/>
      <c r="BF6" s="37"/>
      <c r="BG6" s="37"/>
      <c r="BH6" s="37"/>
    </row>
    <row r="7" spans="2:65" ht="33" customHeight="1">
      <c r="B7" s="141" t="s">
        <v>11</v>
      </c>
      <c r="C7" s="468">
        <v>55</v>
      </c>
      <c r="D7" s="469"/>
      <c r="E7" s="470"/>
      <c r="J7" s="188" t="s">
        <v>123</v>
      </c>
      <c r="K7" s="189" t="str">
        <f>$AR$30 &amp;" "&amp; AT22</f>
        <v>Shift 7</v>
      </c>
      <c r="L7" s="434"/>
      <c r="M7" s="434"/>
      <c r="N7" s="434"/>
      <c r="O7" s="434"/>
      <c r="P7" s="434"/>
      <c r="Q7" s="437"/>
      <c r="R7" s="437"/>
      <c r="S7" s="8"/>
      <c r="T7" s="438"/>
      <c r="AQ7" s="272" t="s">
        <v>57</v>
      </c>
      <c r="AR7" s="272">
        <v>18.7</v>
      </c>
      <c r="AS7" s="272"/>
      <c r="AT7" s="272"/>
      <c r="BC7" s="42"/>
      <c r="BD7" s="43" t="s">
        <v>72</v>
      </c>
      <c r="BE7" s="44" t="s">
        <v>73</v>
      </c>
      <c r="BF7" s="44" t="s">
        <v>74</v>
      </c>
      <c r="BG7" s="45" t="s">
        <v>23</v>
      </c>
      <c r="BH7" s="37"/>
      <c r="BM7" t="s">
        <v>510</v>
      </c>
    </row>
    <row r="8" spans="2:65" ht="30.75" customHeight="1">
      <c r="B8" s="141" t="s">
        <v>12</v>
      </c>
      <c r="C8" s="468">
        <v>240</v>
      </c>
      <c r="D8" s="469"/>
      <c r="E8" s="470"/>
      <c r="J8" s="434"/>
      <c r="K8" s="434"/>
      <c r="L8" s="434"/>
      <c r="M8" s="434"/>
      <c r="N8" s="434"/>
      <c r="O8" s="434"/>
      <c r="P8" s="434"/>
      <c r="Q8" s="437"/>
      <c r="R8" s="437"/>
      <c r="S8" s="8"/>
      <c r="T8" s="438"/>
      <c r="AL8" s="46">
        <f>C23*C6*C4</f>
        <v>3960000</v>
      </c>
      <c r="AM8" s="31" t="s">
        <v>64</v>
      </c>
      <c r="BC8" s="22" t="s">
        <v>139</v>
      </c>
      <c r="BD8" s="47">
        <f>(C46+C47)*$C$4</f>
        <v>924</v>
      </c>
      <c r="BE8" s="47">
        <f>(D46+D47)*$C$4</f>
        <v>1056</v>
      </c>
      <c r="BF8" s="47">
        <f>(E46+E47)*$C$4</f>
        <v>2376</v>
      </c>
      <c r="BG8" s="48">
        <f t="shared" ref="BG8:BG13" si="0">SUM(BD8:BF8)</f>
        <v>4356</v>
      </c>
      <c r="BH8" s="37"/>
      <c r="BM8" t="s">
        <v>486</v>
      </c>
    </row>
    <row r="9" spans="2:65" ht="34.5" customHeight="1">
      <c r="B9" s="139" t="s">
        <v>2</v>
      </c>
      <c r="C9" s="468">
        <v>80</v>
      </c>
      <c r="D9" s="469"/>
      <c r="E9" s="470"/>
      <c r="J9" s="451" t="s">
        <v>146</v>
      </c>
      <c r="K9" s="451"/>
      <c r="L9" s="434"/>
      <c r="M9" s="434"/>
      <c r="N9" s="434"/>
      <c r="O9" s="434"/>
      <c r="P9" s="434"/>
      <c r="Q9" s="437"/>
      <c r="R9" s="437"/>
      <c r="S9" s="8"/>
      <c r="T9" s="438"/>
      <c r="AL9" s="49">
        <f>0.95*C22</f>
        <v>4750000</v>
      </c>
      <c r="AM9" s="31" t="s">
        <v>65</v>
      </c>
      <c r="BC9" s="23" t="s">
        <v>135</v>
      </c>
      <c r="BD9" s="50">
        <f>BD8*AL19</f>
        <v>83448.198198198195</v>
      </c>
      <c r="BE9" s="50">
        <f>BE8*AM19</f>
        <v>104906.30630630632</v>
      </c>
      <c r="BF9" s="50">
        <f>BF8*AN19</f>
        <v>257497.29729729728</v>
      </c>
      <c r="BG9" s="51">
        <f t="shared" si="0"/>
        <v>445851.80180180178</v>
      </c>
      <c r="BH9" s="52">
        <f>BG9/BD3</f>
        <v>0.84234234234234229</v>
      </c>
      <c r="BM9" t="s">
        <v>511</v>
      </c>
    </row>
    <row r="10" spans="2:65" ht="32.25" customHeight="1">
      <c r="B10" s="139" t="s">
        <v>3</v>
      </c>
      <c r="C10" s="477">
        <v>0.5</v>
      </c>
      <c r="D10" s="478"/>
      <c r="E10" s="479"/>
      <c r="J10" s="188" t="s">
        <v>117</v>
      </c>
      <c r="K10" s="189" t="str">
        <f>AS25 &amp;" "&amp; $AR$29</f>
        <v>5 shifts</v>
      </c>
      <c r="L10" s="434"/>
      <c r="M10" s="434"/>
      <c r="N10" s="434"/>
      <c r="O10" s="434"/>
      <c r="P10" s="434"/>
      <c r="Q10" s="439"/>
      <c r="R10" s="439"/>
      <c r="S10" s="440"/>
      <c r="T10" s="440"/>
      <c r="AK10" s="192" t="s">
        <v>67</v>
      </c>
      <c r="AL10" s="49">
        <f>C22-AL9</f>
        <v>250000</v>
      </c>
      <c r="AM10" s="49">
        <f>AL9-AL8</f>
        <v>790000</v>
      </c>
      <c r="AN10" s="31" t="s">
        <v>66</v>
      </c>
      <c r="AQ10" s="272"/>
      <c r="AR10" s="272" t="s">
        <v>59</v>
      </c>
      <c r="AT10" s="272" t="s">
        <v>60</v>
      </c>
      <c r="AU10" s="272" t="s">
        <v>58</v>
      </c>
      <c r="AW10" s="480" t="s">
        <v>95</v>
      </c>
      <c r="AX10" s="481"/>
      <c r="AY10" s="481"/>
      <c r="AZ10" s="481"/>
      <c r="BA10" s="482"/>
      <c r="BC10" s="24" t="s">
        <v>140</v>
      </c>
      <c r="BD10" s="20">
        <f>C48*$C$4</f>
        <v>528</v>
      </c>
      <c r="BE10" s="47">
        <f>D48*$C$4</f>
        <v>792</v>
      </c>
      <c r="BF10" s="47">
        <f>E48*$C$4</f>
        <v>0</v>
      </c>
      <c r="BG10" s="48">
        <f t="shared" si="0"/>
        <v>1320</v>
      </c>
      <c r="BH10" s="52"/>
    </row>
    <row r="11" spans="2:65" ht="32.25" customHeight="1">
      <c r="B11" s="474" t="s">
        <v>4</v>
      </c>
      <c r="C11" s="444" t="s">
        <v>5</v>
      </c>
      <c r="D11" s="444" t="s">
        <v>6</v>
      </c>
      <c r="E11" s="444" t="s">
        <v>7</v>
      </c>
      <c r="J11" s="188" t="s">
        <v>118</v>
      </c>
      <c r="K11" s="189" t="str">
        <f>AS26 &amp;" "&amp; $AR$29</f>
        <v>3 shifts</v>
      </c>
      <c r="L11" s="434"/>
      <c r="M11" s="434"/>
      <c r="N11" s="434"/>
      <c r="O11" s="434"/>
      <c r="P11" s="434"/>
      <c r="Q11" s="437"/>
      <c r="R11" s="437"/>
      <c r="S11" s="8"/>
      <c r="T11" s="8"/>
      <c r="AO11" s="288"/>
      <c r="AQ11" s="291">
        <f>IF(AT16=0,AU16,AT16*60+AU16)</f>
        <v>4.5833333333333393</v>
      </c>
      <c r="AR11" s="272">
        <f>(AR6/$AR$7)*60</f>
        <v>64.171122994652407</v>
      </c>
      <c r="AT11" s="272">
        <f>INT(AR11/60)</f>
        <v>1</v>
      </c>
      <c r="AU11" s="291">
        <f>AR11-AT11*60</f>
        <v>4.1711229946524071</v>
      </c>
      <c r="AW11" s="19" t="s">
        <v>19</v>
      </c>
      <c r="AX11" s="10" t="s">
        <v>20</v>
      </c>
      <c r="AY11" s="11" t="s">
        <v>21</v>
      </c>
      <c r="AZ11" s="12" t="s">
        <v>22</v>
      </c>
      <c r="BA11" s="13" t="s">
        <v>23</v>
      </c>
      <c r="BC11" s="25" t="s">
        <v>136</v>
      </c>
      <c r="BD11" s="53">
        <f>BD10*AL20</f>
        <v>49780.821917808214</v>
      </c>
      <c r="BE11" s="50">
        <f t="shared" ref="BE11:BF11" si="1">BE10*AM20</f>
        <v>82138.356164383556</v>
      </c>
      <c r="BF11" s="50">
        <f t="shared" si="1"/>
        <v>0</v>
      </c>
      <c r="BG11" s="51">
        <f t="shared" si="0"/>
        <v>131919.17808219176</v>
      </c>
      <c r="BH11" s="52">
        <f>BG11/BE3</f>
        <v>0.72602739726027399</v>
      </c>
    </row>
    <row r="12" spans="2:65" ht="31.5" customHeight="1">
      <c r="B12" s="475"/>
      <c r="C12" s="176">
        <v>0.67</v>
      </c>
      <c r="D12" s="179">
        <v>0.23</v>
      </c>
      <c r="E12" s="178">
        <f>1-C12-D12</f>
        <v>9.999999999999995E-2</v>
      </c>
      <c r="J12" s="188" t="s">
        <v>119</v>
      </c>
      <c r="K12" s="189" t="str">
        <f>AS27 &amp;" "&amp; $AR$29</f>
        <v>1 shifts</v>
      </c>
      <c r="L12" s="434"/>
      <c r="M12" s="434"/>
      <c r="N12" s="434"/>
      <c r="O12" s="434"/>
      <c r="P12" s="434"/>
      <c r="Q12" s="437"/>
      <c r="R12" s="437"/>
      <c r="S12" s="8"/>
      <c r="T12" s="8"/>
      <c r="AL12" s="49">
        <f>(AM10/C4)/C6</f>
        <v>2992.4242424242425</v>
      </c>
      <c r="AM12" s="31" t="s">
        <v>68</v>
      </c>
      <c r="AO12" s="288"/>
      <c r="AQ12" s="272"/>
      <c r="AR12" s="272">
        <f>(AS6/$AR$7)*60</f>
        <v>128.34224598930481</v>
      </c>
      <c r="AT12" s="272">
        <f t="shared" ref="AT12:AT13" si="2">INT(AR12/60)</f>
        <v>2</v>
      </c>
      <c r="AU12" s="291">
        <f t="shared" ref="AU12:AU13" si="3">AR12-AT12*60</f>
        <v>8.3422459893048142</v>
      </c>
      <c r="AW12" s="54" t="s">
        <v>96</v>
      </c>
      <c r="AX12" s="55">
        <f t="shared" ref="AX12:AZ14" si="4">C41</f>
        <v>6</v>
      </c>
      <c r="AY12" s="55">
        <f t="shared" si="4"/>
        <v>6</v>
      </c>
      <c r="AZ12" s="55">
        <f t="shared" si="4"/>
        <v>14</v>
      </c>
      <c r="BA12" s="56">
        <f>SUM(AX12:AZ12)</f>
        <v>26</v>
      </c>
      <c r="BC12" s="24" t="s">
        <v>141</v>
      </c>
      <c r="BD12" s="20">
        <f>C49*$C$4</f>
        <v>282.99453551912603</v>
      </c>
      <c r="BE12" s="47">
        <f>D49*$C$4</f>
        <v>0</v>
      </c>
      <c r="BF12" s="47">
        <f>E49*$C$4</f>
        <v>0</v>
      </c>
      <c r="BG12" s="48">
        <f t="shared" si="0"/>
        <v>282.99453551912603</v>
      </c>
      <c r="BH12" s="52"/>
    </row>
    <row r="13" spans="2:65" ht="31.5" customHeight="1">
      <c r="B13" s="476"/>
      <c r="C13" s="177">
        <f>IF(AP24&lt;0,0,AP24)</f>
        <v>20</v>
      </c>
      <c r="D13" s="177">
        <f>IF(AQ24&lt;0,0,AQ24)</f>
        <v>7</v>
      </c>
      <c r="E13" s="177">
        <f>IF(AN5&lt;0,0,AN5)</f>
        <v>2.1438979963570155</v>
      </c>
      <c r="F13" s="295"/>
      <c r="J13" s="434"/>
      <c r="K13" s="434"/>
      <c r="L13" s="434"/>
      <c r="M13" s="434"/>
      <c r="N13" s="434"/>
      <c r="O13" s="434"/>
      <c r="P13" s="434"/>
      <c r="Q13" s="437"/>
      <c r="R13" s="437"/>
      <c r="S13" s="8"/>
      <c r="T13" s="8"/>
      <c r="AL13" s="49">
        <f>C12*$AL$12</f>
        <v>2004.9242424242425</v>
      </c>
      <c r="AM13" s="49">
        <f>D12*$AL$12</f>
        <v>688.25757575757575</v>
      </c>
      <c r="AN13" s="49">
        <f>E12*$AL$12</f>
        <v>299.24242424242408</v>
      </c>
      <c r="AO13" s="288"/>
      <c r="AQ13" s="272"/>
      <c r="AR13" s="272">
        <f>(AT6/$AR$7)*60</f>
        <v>320.85561497326205</v>
      </c>
      <c r="AT13" s="272">
        <f t="shared" si="2"/>
        <v>5</v>
      </c>
      <c r="AU13" s="291">
        <f t="shared" si="3"/>
        <v>20.85561497326205</v>
      </c>
      <c r="AW13" s="57" t="s">
        <v>97</v>
      </c>
      <c r="AX13" s="58">
        <f t="shared" si="4"/>
        <v>24</v>
      </c>
      <c r="AY13" s="58">
        <f t="shared" si="4"/>
        <v>18</v>
      </c>
      <c r="AZ13" s="58">
        <f t="shared" si="4"/>
        <v>0</v>
      </c>
      <c r="BA13" s="56">
        <f t="shared" ref="BA13:BA15" si="5">SUM(AX13:AZ13)</f>
        <v>42</v>
      </c>
      <c r="BC13" s="25" t="s">
        <v>137</v>
      </c>
      <c r="BD13" s="59">
        <f>BD12*AL21</f>
        <v>12940.906307409679</v>
      </c>
      <c r="BE13" s="60">
        <f t="shared" ref="BE13:BF13" si="6">BE12*AM21</f>
        <v>0</v>
      </c>
      <c r="BF13" s="60">
        <f t="shared" si="6"/>
        <v>0</v>
      </c>
      <c r="BG13" s="61">
        <f t="shared" si="0"/>
        <v>12940.906307409679</v>
      </c>
      <c r="BH13" s="52">
        <f>BG13/BF3</f>
        <v>0.1638089406001226</v>
      </c>
    </row>
    <row r="14" spans="2:65" ht="31.5" customHeight="1">
      <c r="B14" s="474" t="s">
        <v>505</v>
      </c>
      <c r="C14" s="444" t="s">
        <v>162</v>
      </c>
      <c r="D14" s="444" t="s">
        <v>163</v>
      </c>
      <c r="E14" s="444" t="s">
        <v>164</v>
      </c>
      <c r="J14" s="451" t="s">
        <v>51</v>
      </c>
      <c r="K14" s="451"/>
      <c r="L14" s="451"/>
      <c r="M14" s="451"/>
      <c r="N14" s="451"/>
      <c r="O14" s="451"/>
      <c r="P14" s="451"/>
      <c r="Q14" s="437"/>
      <c r="R14" s="437"/>
      <c r="S14" s="8"/>
      <c r="T14" s="8"/>
      <c r="AG14" s="6"/>
      <c r="AL14" s="31" t="s">
        <v>69</v>
      </c>
      <c r="AM14" s="31" t="s">
        <v>70</v>
      </c>
      <c r="AN14" s="31" t="s">
        <v>71</v>
      </c>
      <c r="AO14" s="288"/>
      <c r="AW14" s="57" t="s">
        <v>98</v>
      </c>
      <c r="AX14" s="58">
        <f t="shared" si="4"/>
        <v>12.863387978142093</v>
      </c>
      <c r="AY14" s="58">
        <f t="shared" si="4"/>
        <v>0</v>
      </c>
      <c r="AZ14" s="58">
        <f t="shared" si="4"/>
        <v>0</v>
      </c>
      <c r="BA14" s="56">
        <f t="shared" si="5"/>
        <v>12.863387978142093</v>
      </c>
      <c r="BC14" s="37"/>
      <c r="BD14" s="37"/>
      <c r="BE14" s="37"/>
      <c r="BF14" s="26">
        <f>(BG14-BG3)/BG3</f>
        <v>-0.2522634352007555</v>
      </c>
      <c r="BG14" s="62">
        <f>SUM(BG9,BG11,BG13)</f>
        <v>590711.88619140314</v>
      </c>
      <c r="BH14" s="62">
        <f>BG3+AL8</f>
        <v>4750000</v>
      </c>
      <c r="BM14" t="s">
        <v>174</v>
      </c>
    </row>
    <row r="15" spans="2:65" ht="33.75" customHeight="1">
      <c r="B15" s="475"/>
      <c r="C15" s="176">
        <v>0.46</v>
      </c>
      <c r="D15" s="176">
        <v>0.37</v>
      </c>
      <c r="E15" s="178">
        <f>1-C15-D15</f>
        <v>0.17000000000000004</v>
      </c>
      <c r="J15" s="511" t="s">
        <v>48</v>
      </c>
      <c r="K15" s="512"/>
      <c r="L15" s="511" t="s">
        <v>49</v>
      </c>
      <c r="M15" s="512"/>
      <c r="N15" s="511" t="s">
        <v>50</v>
      </c>
      <c r="O15" s="512"/>
      <c r="P15" s="193" t="s">
        <v>43</v>
      </c>
      <c r="AK15" s="31" t="s">
        <v>500</v>
      </c>
      <c r="AL15" s="272">
        <f>C18*$C$16</f>
        <v>6.58</v>
      </c>
      <c r="AM15" s="272">
        <f>D18*$D$16</f>
        <v>3.74</v>
      </c>
      <c r="AN15" s="289"/>
      <c r="AO15" s="302">
        <f>C13-AS32-AT32</f>
        <v>9</v>
      </c>
      <c r="AR15" s="272" t="s">
        <v>61</v>
      </c>
      <c r="AS15" s="272" t="s">
        <v>62</v>
      </c>
      <c r="AT15" s="486" t="s">
        <v>63</v>
      </c>
      <c r="AU15" s="486"/>
      <c r="AW15" s="63" t="s">
        <v>99</v>
      </c>
      <c r="AX15" s="64">
        <f>C40</f>
        <v>36</v>
      </c>
      <c r="AY15" s="64">
        <f>D40</f>
        <v>18</v>
      </c>
      <c r="AZ15" s="64">
        <f>E40</f>
        <v>49</v>
      </c>
      <c r="BA15" s="56">
        <f t="shared" si="5"/>
        <v>103</v>
      </c>
      <c r="BC15" s="37"/>
      <c r="BD15" s="27" t="s">
        <v>138</v>
      </c>
      <c r="BE15" s="37"/>
      <c r="BF15" s="37"/>
      <c r="BG15" s="65">
        <f>AL10</f>
        <v>250000</v>
      </c>
      <c r="BH15" s="66"/>
      <c r="BM15" t="s">
        <v>477</v>
      </c>
    </row>
    <row r="16" spans="2:65" ht="35.25" customHeight="1">
      <c r="B16" s="476"/>
      <c r="C16" s="177">
        <f>IF(AP25&lt;0,0,AP25)</f>
        <v>14</v>
      </c>
      <c r="D16" s="177">
        <f>IF(AQ25&lt;0,0,AQ25)</f>
        <v>11</v>
      </c>
      <c r="E16" s="177">
        <f>IF(AN6&lt;0,0,AN6)</f>
        <v>4.1438979963570155</v>
      </c>
      <c r="J16" s="156" t="s">
        <v>44</v>
      </c>
      <c r="K16" s="167">
        <f>IF(AP19&lt;0,0,AP19)</f>
        <v>7</v>
      </c>
      <c r="L16" s="269" t="s">
        <v>44</v>
      </c>
      <c r="M16" s="276">
        <f>IF(AQ19&lt;0,0,AQ19)</f>
        <v>4</v>
      </c>
      <c r="N16" s="269" t="s">
        <v>44</v>
      </c>
      <c r="O16" s="167">
        <f>IF(AO15&lt;0,0,AO15)</f>
        <v>9</v>
      </c>
      <c r="P16" s="303">
        <f>SUM(K16,M16,O16)</f>
        <v>20</v>
      </c>
      <c r="AL16" s="272">
        <f>C19*$C$16</f>
        <v>3.36</v>
      </c>
      <c r="AM16" s="272">
        <f>D19*$D$16</f>
        <v>2.6399999999999997</v>
      </c>
      <c r="AN16" s="289"/>
      <c r="AO16" s="302">
        <f>D13-AS33-AT33</f>
        <v>0</v>
      </c>
      <c r="AR16" s="291">
        <f>IF((C7/60)*(C6-1)&gt;C5,"ERROR",(C7/60)*(C6-1))</f>
        <v>10.083333333333332</v>
      </c>
      <c r="AS16" s="291">
        <f>C5-AR16</f>
        <v>0.91666666666666785</v>
      </c>
      <c r="AT16" s="291">
        <f>INT(AU18)</f>
        <v>0</v>
      </c>
      <c r="AU16" s="291">
        <f>(AU18-AT16)*60</f>
        <v>4.5833333333333393</v>
      </c>
      <c r="BC16" s="37"/>
      <c r="BD16" s="28">
        <v>4</v>
      </c>
      <c r="BE16" s="67">
        <f>BD3-BG9</f>
        <v>83448.198198198224</v>
      </c>
      <c r="BF16" s="68">
        <f>SUM(BE16:BE18)</f>
        <v>199288.11380859671</v>
      </c>
      <c r="BG16" s="65">
        <f>BG15+BH14</f>
        <v>5000000</v>
      </c>
      <c r="BH16" s="37"/>
      <c r="BI16" s="79">
        <f>BG3/BG14</f>
        <v>1.3373693986310329</v>
      </c>
    </row>
    <row r="17" spans="2:66" ht="30.75" customHeight="1">
      <c r="B17" s="142" t="s">
        <v>13</v>
      </c>
      <c r="C17" s="444" t="s">
        <v>162</v>
      </c>
      <c r="D17" s="444" t="s">
        <v>163</v>
      </c>
      <c r="E17" s="444" t="s">
        <v>164</v>
      </c>
      <c r="J17" s="157" t="s">
        <v>45</v>
      </c>
      <c r="K17" s="168">
        <f t="shared" ref="K17:K18" si="7">IF(AP20&lt;0,0,AP20)</f>
        <v>4</v>
      </c>
      <c r="L17" s="270" t="s">
        <v>45</v>
      </c>
      <c r="M17" s="277">
        <f t="shared" ref="M17:M18" si="8">IF(AQ20&lt;0,0,AQ20)</f>
        <v>3</v>
      </c>
      <c r="N17" s="270" t="s">
        <v>45</v>
      </c>
      <c r="O17" s="168">
        <f>IF(AO16&lt;0,0,AO16)</f>
        <v>0</v>
      </c>
      <c r="P17" s="173">
        <f>SUM(K17,M17,O17)</f>
        <v>7</v>
      </c>
      <c r="AL17" s="290">
        <f>C20*$C$16</f>
        <v>4.0600000000000005</v>
      </c>
      <c r="AM17" s="290">
        <f>D20*$D$16</f>
        <v>4.6199999999999992</v>
      </c>
      <c r="AN17" s="289"/>
      <c r="AO17" s="302">
        <f>E13-AS34-AT34</f>
        <v>-4.8561020036429845</v>
      </c>
      <c r="AW17" s="480" t="s">
        <v>124</v>
      </c>
      <c r="AX17" s="481"/>
      <c r="AY17" s="481"/>
      <c r="AZ17" s="481"/>
      <c r="BA17" s="482"/>
      <c r="BC17" s="69"/>
      <c r="BD17" s="42">
        <v>7</v>
      </c>
      <c r="BE17" s="62">
        <f>BE3-BG11</f>
        <v>49780.821917808207</v>
      </c>
      <c r="BF17" s="66"/>
      <c r="BG17" s="37"/>
      <c r="BH17" s="37"/>
    </row>
    <row r="18" spans="2:66" ht="32.25" customHeight="1">
      <c r="B18" s="143" t="s">
        <v>14</v>
      </c>
      <c r="C18" s="179">
        <v>0.47</v>
      </c>
      <c r="D18" s="179">
        <v>0.34</v>
      </c>
      <c r="E18" s="178">
        <f>1-C18-D18</f>
        <v>0.19</v>
      </c>
      <c r="J18" s="158" t="s">
        <v>46</v>
      </c>
      <c r="K18" s="169">
        <f t="shared" si="7"/>
        <v>2.1438979963570155</v>
      </c>
      <c r="L18" s="271" t="s">
        <v>46</v>
      </c>
      <c r="M18" s="278">
        <f t="shared" si="8"/>
        <v>0</v>
      </c>
      <c r="N18" s="271" t="s">
        <v>46</v>
      </c>
      <c r="O18" s="169">
        <f>IF(AO17&lt;0,0,AO17)</f>
        <v>0</v>
      </c>
      <c r="P18" s="164">
        <f>SUM(K18,M18,O18)</f>
        <v>2.1438979963570155</v>
      </c>
      <c r="AK18" s="234"/>
      <c r="AL18" s="234" t="s">
        <v>72</v>
      </c>
      <c r="AM18" s="234" t="s">
        <v>73</v>
      </c>
      <c r="AN18" s="234" t="s">
        <v>74</v>
      </c>
      <c r="AO18" s="288"/>
      <c r="AU18" s="31">
        <f>AS16/C6</f>
        <v>7.6388888888888992E-2</v>
      </c>
      <c r="AW18" s="19" t="s">
        <v>19</v>
      </c>
      <c r="AX18" s="10" t="s">
        <v>20</v>
      </c>
      <c r="AY18" s="11" t="s">
        <v>21</v>
      </c>
      <c r="AZ18" s="12" t="s">
        <v>22</v>
      </c>
      <c r="BA18" s="13" t="s">
        <v>23</v>
      </c>
      <c r="BC18" s="37"/>
      <c r="BD18" s="42">
        <v>12</v>
      </c>
      <c r="BE18" s="62">
        <f>BF3-BG13</f>
        <v>66059.093692590279</v>
      </c>
      <c r="BF18" s="37"/>
      <c r="BG18" s="37"/>
      <c r="BH18" s="37"/>
    </row>
    <row r="19" spans="2:66" ht="31.5" customHeight="1">
      <c r="B19" s="143" t="s">
        <v>15</v>
      </c>
      <c r="C19" s="179">
        <v>0.24</v>
      </c>
      <c r="D19" s="179">
        <v>0.24</v>
      </c>
      <c r="E19" s="178">
        <f>1-C19-D19</f>
        <v>0.52</v>
      </c>
      <c r="J19" s="434"/>
      <c r="K19" s="441"/>
      <c r="L19" s="434"/>
      <c r="M19" s="441"/>
      <c r="N19" s="434"/>
      <c r="O19" s="441"/>
      <c r="P19" s="441"/>
      <c r="AK19" s="234" t="s">
        <v>69</v>
      </c>
      <c r="AL19" s="296">
        <f>AL13/(K16+1.1*M16+1.2*O16)</f>
        <v>90.311902811902812</v>
      </c>
      <c r="AM19" s="252">
        <f>1.1*AL19</f>
        <v>99.343093093093103</v>
      </c>
      <c r="AN19" s="252">
        <f>1.2*AL19</f>
        <v>108.37428337428337</v>
      </c>
      <c r="AO19" s="288"/>
      <c r="AP19" s="281">
        <f>IF(AQ19&lt;0,AS32+AQ19,AS32)</f>
        <v>7</v>
      </c>
      <c r="AQ19" s="294">
        <f>IF(AO15&lt;0,AT32+AO15,AT32)</f>
        <v>4</v>
      </c>
      <c r="AW19" s="54" t="s">
        <v>96</v>
      </c>
      <c r="AX19" s="55">
        <f>AX12+AX15</f>
        <v>42</v>
      </c>
      <c r="AY19" s="55">
        <f t="shared" ref="AY19:AZ19" si="9">AY12+AY15</f>
        <v>24</v>
      </c>
      <c r="AZ19" s="55">
        <f t="shared" si="9"/>
        <v>63</v>
      </c>
      <c r="BA19" s="56">
        <f>SUM(AX19:AZ19)</f>
        <v>129</v>
      </c>
      <c r="BC19" s="37"/>
      <c r="BD19" s="37"/>
      <c r="BE19" s="37"/>
      <c r="BF19" s="37"/>
      <c r="BG19" s="37"/>
      <c r="BH19" s="37"/>
    </row>
    <row r="20" spans="2:66" ht="36.75" customHeight="1">
      <c r="B20" s="144" t="s">
        <v>16</v>
      </c>
      <c r="C20" s="180">
        <f>1-C18-C19</f>
        <v>0.29000000000000004</v>
      </c>
      <c r="D20" s="180">
        <f>1-D18-D19</f>
        <v>0.41999999999999993</v>
      </c>
      <c r="E20" s="181">
        <f>1-E18-E19</f>
        <v>0.29000000000000004</v>
      </c>
      <c r="J20" s="451" t="s">
        <v>52</v>
      </c>
      <c r="K20" s="451"/>
      <c r="L20" s="451"/>
      <c r="M20" s="451"/>
      <c r="N20" s="451"/>
      <c r="O20" s="451"/>
      <c r="P20" s="451"/>
      <c r="AK20" s="234" t="s">
        <v>70</v>
      </c>
      <c r="AL20" s="252">
        <f>AM13/(K17+1.1*M17+1.2*O17)</f>
        <v>94.281859692818585</v>
      </c>
      <c r="AM20" s="252">
        <f t="shared" ref="AM20:AM21" si="10">1.1*AL20</f>
        <v>103.71004566210046</v>
      </c>
      <c r="AN20" s="252">
        <f t="shared" ref="AN20:AN21" si="11">1.2*AL20</f>
        <v>113.1382316313823</v>
      </c>
      <c r="AO20" s="288"/>
      <c r="AP20" s="279">
        <f t="shared" ref="AP20:AP21" si="12">IF(AQ20&lt;0,AS33+AQ20,AS33)</f>
        <v>4</v>
      </c>
      <c r="AQ20" s="286">
        <f t="shared" ref="AQ20:AQ21" si="13">IF(AO16&lt;0,AT33+AO16,AT33)</f>
        <v>3</v>
      </c>
      <c r="AR20" s="282">
        <f>(AR11+$C$7)/($AQ$11+$C$7)</f>
        <v>2.0000747915186414</v>
      </c>
      <c r="AS20" s="282">
        <f>INT(AR20)</f>
        <v>2</v>
      </c>
      <c r="AT20" s="282">
        <f>IF(AR20&gt;AS20,AS20+1,AS20)</f>
        <v>3</v>
      </c>
      <c r="AU20" s="292" t="s">
        <v>501</v>
      </c>
      <c r="AW20" s="57" t="s">
        <v>97</v>
      </c>
      <c r="AX20" s="58">
        <f>AX13</f>
        <v>24</v>
      </c>
      <c r="AY20" s="58">
        <f t="shared" ref="AY20:AZ20" si="14">AY13</f>
        <v>18</v>
      </c>
      <c r="AZ20" s="58">
        <f t="shared" si="14"/>
        <v>0</v>
      </c>
      <c r="BA20" s="56">
        <f>SUM(AX20:AZ20)</f>
        <v>42</v>
      </c>
      <c r="BC20" s="37"/>
      <c r="BD20" s="38" t="s">
        <v>128</v>
      </c>
      <c r="BE20" s="38" t="s">
        <v>129</v>
      </c>
      <c r="BF20" s="38" t="s">
        <v>130</v>
      </c>
      <c r="BG20" s="17" t="s">
        <v>142</v>
      </c>
      <c r="BH20" s="17" t="s">
        <v>43</v>
      </c>
    </row>
    <row r="21" spans="2:66" ht="29.25" customHeight="1">
      <c r="B21" s="141" t="s">
        <v>17</v>
      </c>
      <c r="C21" s="468">
        <v>100</v>
      </c>
      <c r="D21" s="469"/>
      <c r="E21" s="470"/>
      <c r="J21" s="511" t="s">
        <v>48</v>
      </c>
      <c r="K21" s="513"/>
      <c r="L21" s="511" t="s">
        <v>49</v>
      </c>
      <c r="M21" s="513"/>
      <c r="N21" s="511" t="s">
        <v>50</v>
      </c>
      <c r="O21" s="513"/>
      <c r="P21" s="193" t="s">
        <v>43</v>
      </c>
      <c r="AK21" s="260" t="s">
        <v>71</v>
      </c>
      <c r="AL21" s="252">
        <f>AN13/(K18+1.1*M16+1.2*O18)</f>
        <v>45.728467101567318</v>
      </c>
      <c r="AM21" s="252">
        <f t="shared" si="10"/>
        <v>50.301313811724057</v>
      </c>
      <c r="AN21" s="252">
        <f t="shared" si="11"/>
        <v>54.874160521880782</v>
      </c>
      <c r="AO21" s="288"/>
      <c r="AP21" s="284">
        <f t="shared" si="12"/>
        <v>2.1438979963570155</v>
      </c>
      <c r="AQ21" s="293">
        <f t="shared" si="13"/>
        <v>-0.8561020036429845</v>
      </c>
      <c r="AR21" s="283">
        <f>(AR12+$C$7)/($AQ$11+$C$7)</f>
        <v>3.0770726599603599</v>
      </c>
      <c r="AS21" s="283">
        <f t="shared" ref="AS21:AS22" si="15">INT(AR21)</f>
        <v>3</v>
      </c>
      <c r="AT21" s="283">
        <f t="shared" ref="AT21:AT22" si="16">IF(AR21&gt;AS21,AS21+1,AS21)</f>
        <v>4</v>
      </c>
      <c r="AU21" s="286"/>
      <c r="AW21" s="63" t="s">
        <v>98</v>
      </c>
      <c r="AX21" s="64">
        <f>AX14</f>
        <v>12.863387978142093</v>
      </c>
      <c r="AY21" s="64">
        <f t="shared" ref="AY21:AZ21" si="17">AY14</f>
        <v>0</v>
      </c>
      <c r="AZ21" s="64">
        <f t="shared" si="17"/>
        <v>0</v>
      </c>
      <c r="BA21" s="56">
        <f>SUM(AX21:AZ21)</f>
        <v>12.863387978142093</v>
      </c>
      <c r="BC21" s="40" t="s">
        <v>131</v>
      </c>
      <c r="BD21" s="41">
        <f>((AL13/SUM(P16:P18))*SUM(P23:P25))*$C$6*$C$4</f>
        <v>238714.30000000005</v>
      </c>
      <c r="BE21" s="41">
        <f>AM13*$C$6*$C$4</f>
        <v>181699.99999999997</v>
      </c>
      <c r="BF21" s="41">
        <f>AN13*$C$6*$C$4</f>
        <v>78999.999999999956</v>
      </c>
      <c r="BG21" s="41">
        <f>BG27</f>
        <v>495220.44056004047</v>
      </c>
      <c r="BH21" s="41">
        <f>SUM(BD21:BG21)</f>
        <v>994634.74056004046</v>
      </c>
      <c r="BI21" s="79">
        <f>BH21/BG34</f>
        <v>1.3524167291927087</v>
      </c>
    </row>
    <row r="22" spans="2:66" ht="24.75" customHeight="1">
      <c r="B22" s="139" t="s">
        <v>1</v>
      </c>
      <c r="C22" s="496">
        <v>5000000</v>
      </c>
      <c r="D22" s="497"/>
      <c r="E22" s="498"/>
      <c r="J22" s="153" t="s">
        <v>47</v>
      </c>
      <c r="K22" s="167">
        <f>AR43</f>
        <v>6</v>
      </c>
      <c r="L22" s="156" t="s">
        <v>47</v>
      </c>
      <c r="M22" s="167">
        <f>AS43</f>
        <v>3</v>
      </c>
      <c r="N22" s="153" t="s">
        <v>47</v>
      </c>
      <c r="O22" s="170">
        <f>AT43</f>
        <v>7</v>
      </c>
      <c r="P22" s="167">
        <f>SUM(K22,M22,O22)</f>
        <v>16</v>
      </c>
      <c r="AK22" s="262"/>
      <c r="AL22" s="263"/>
      <c r="AM22" s="263"/>
      <c r="AN22" s="263"/>
      <c r="AO22" s="288"/>
      <c r="AR22" s="284">
        <f>(AR13+$C$7)/($AQ$11+$C$7)</f>
        <v>6.3080662652855155</v>
      </c>
      <c r="AS22" s="285">
        <f t="shared" si="15"/>
        <v>6</v>
      </c>
      <c r="AT22" s="285">
        <f t="shared" si="16"/>
        <v>7</v>
      </c>
      <c r="AU22" s="293"/>
      <c r="AW22" s="9"/>
      <c r="AX22" s="58"/>
      <c r="AY22" s="58"/>
      <c r="AZ22" s="58"/>
      <c r="BA22" s="58"/>
      <c r="BC22" s="40" t="s">
        <v>132</v>
      </c>
      <c r="BD22" s="41">
        <f>BA12</f>
        <v>26</v>
      </c>
      <c r="BE22" s="41">
        <f>BA13</f>
        <v>42</v>
      </c>
      <c r="BF22" s="41">
        <f>BA14</f>
        <v>12.863387978142093</v>
      </c>
      <c r="BG22" s="41">
        <f>BA15</f>
        <v>103</v>
      </c>
      <c r="BH22" s="41">
        <f>SUM(BD22:BG22)</f>
        <v>183.8633879781421</v>
      </c>
    </row>
    <row r="23" spans="2:66" ht="25.5" customHeight="1">
      <c r="B23" s="145" t="s">
        <v>471</v>
      </c>
      <c r="C23" s="499">
        <v>15000</v>
      </c>
      <c r="D23" s="500"/>
      <c r="E23" s="501"/>
      <c r="G23" s="257"/>
      <c r="H23" s="257"/>
      <c r="I23" s="257"/>
      <c r="J23" s="154" t="s">
        <v>44</v>
      </c>
      <c r="K23" s="168">
        <f>K16-K22</f>
        <v>1</v>
      </c>
      <c r="L23" s="157" t="s">
        <v>44</v>
      </c>
      <c r="M23" s="168">
        <f>M16-M22</f>
        <v>1</v>
      </c>
      <c r="N23" s="154" t="s">
        <v>44</v>
      </c>
      <c r="O23" s="171">
        <f>O16-O22</f>
        <v>2</v>
      </c>
      <c r="P23" s="168">
        <f t="shared" ref="P23:P25" si="18">SUM(K23,M23,O23)</f>
        <v>4</v>
      </c>
      <c r="AL23" s="253"/>
      <c r="AP23" s="306">
        <f>IF(AQ23&lt;0,AS35+AQ23,AS35)</f>
        <v>7</v>
      </c>
      <c r="AQ23" s="294">
        <f>IF(AN4&lt;0,AT35+AN4,AT35)</f>
        <v>7</v>
      </c>
      <c r="AW23" s="483" t="s">
        <v>100</v>
      </c>
      <c r="AX23" s="484"/>
      <c r="AY23" s="484"/>
      <c r="AZ23" s="484"/>
      <c r="BA23" s="485"/>
      <c r="BC23" s="40" t="s">
        <v>133</v>
      </c>
      <c r="BD23" s="41">
        <f>(F47)*$C$4</f>
        <v>924</v>
      </c>
      <c r="BE23" s="41">
        <f>(F48)*$C$4</f>
        <v>1320</v>
      </c>
      <c r="BF23" s="41">
        <f>(F49)*$C$4</f>
        <v>282.99453551912603</v>
      </c>
      <c r="BG23" s="41">
        <f>(F46)*$C$4</f>
        <v>3432</v>
      </c>
      <c r="BH23" s="41">
        <f>SUM(BD23:BG23)</f>
        <v>5958.9945355191267</v>
      </c>
    </row>
    <row r="24" spans="2:66" ht="27.75" customHeight="1">
      <c r="B24" s="200" t="s">
        <v>169</v>
      </c>
      <c r="C24" s="468" t="s">
        <v>174</v>
      </c>
      <c r="D24" s="469"/>
      <c r="E24" s="470"/>
      <c r="J24" s="154" t="s">
        <v>45</v>
      </c>
      <c r="K24" s="168">
        <v>4</v>
      </c>
      <c r="L24" s="157" t="s">
        <v>45</v>
      </c>
      <c r="M24" s="168">
        <v>3</v>
      </c>
      <c r="N24" s="154" t="s">
        <v>45</v>
      </c>
      <c r="O24" s="171">
        <v>0</v>
      </c>
      <c r="P24" s="168">
        <f t="shared" si="18"/>
        <v>7</v>
      </c>
      <c r="AM24" s="49">
        <f>M16*AM19+M17*AM20+M18*AM21</f>
        <v>708.50250935867371</v>
      </c>
      <c r="AN24" s="49">
        <f>O16*AN19+O17*AN20+O18*AN21</f>
        <v>975.36855036855025</v>
      </c>
      <c r="AP24" s="279">
        <f>IF(AQ24&lt;0,AS30+AQ24,AS30)</f>
        <v>20</v>
      </c>
      <c r="AQ24" s="286">
        <f>IF(AN5&lt;0,AT30+AN5,AT30)</f>
        <v>7</v>
      </c>
      <c r="AR24" s="282">
        <f>12*60</f>
        <v>720</v>
      </c>
      <c r="AS24" s="282">
        <f>C5*60</f>
        <v>660</v>
      </c>
      <c r="AT24" s="294">
        <f>IF(AS24&lt;AR24,AS24,AR24)</f>
        <v>660</v>
      </c>
      <c r="AW24" s="15" t="s">
        <v>101</v>
      </c>
      <c r="AX24" s="32" t="s">
        <v>20</v>
      </c>
      <c r="AY24" s="33" t="s">
        <v>102</v>
      </c>
      <c r="AZ24" s="14" t="s">
        <v>103</v>
      </c>
      <c r="BA24" s="15" t="s">
        <v>43</v>
      </c>
    </row>
    <row r="25" spans="2:66" ht="32.25" customHeight="1">
      <c r="B25" s="200" t="s">
        <v>177</v>
      </c>
      <c r="C25" s="468" t="s">
        <v>173</v>
      </c>
      <c r="D25" s="469"/>
      <c r="E25" s="470"/>
      <c r="J25" s="155" t="s">
        <v>46</v>
      </c>
      <c r="K25" s="169">
        <v>2.1438979963570155</v>
      </c>
      <c r="L25" s="158" t="s">
        <v>46</v>
      </c>
      <c r="M25" s="169">
        <v>0</v>
      </c>
      <c r="N25" s="155" t="s">
        <v>46</v>
      </c>
      <c r="O25" s="172">
        <v>0</v>
      </c>
      <c r="P25" s="169">
        <f t="shared" si="18"/>
        <v>2.1438979963570155</v>
      </c>
      <c r="AL25" s="49">
        <v>1089.8716627754745</v>
      </c>
      <c r="AN25" s="70">
        <f>O16*AN19+O17*AN20+O18*AN21</f>
        <v>975.36855036855025</v>
      </c>
      <c r="AP25" s="284">
        <f>IF(AQ25&lt;0,AS31+AQ25,AS31)</f>
        <v>14</v>
      </c>
      <c r="AQ25" s="293">
        <f>IF(AN6&lt;0,AT31+AN6,AT31)</f>
        <v>11</v>
      </c>
      <c r="AR25" s="283">
        <f>$AT$24/(AR11+$C$7)</f>
        <v>5.5382544312317705</v>
      </c>
      <c r="AS25" s="283">
        <f>INT(AR25)</f>
        <v>5</v>
      </c>
      <c r="AT25" s="287" t="s">
        <v>502</v>
      </c>
      <c r="AW25" s="16" t="s">
        <v>104</v>
      </c>
      <c r="AX25" s="71">
        <f>$N$29*AX12*0.001</f>
        <v>0.85899999999999999</v>
      </c>
      <c r="AY25" s="72">
        <f>$N$29*AY12*0.001</f>
        <v>0.85899999999999999</v>
      </c>
      <c r="AZ25" s="73">
        <f>$N$29*AZ12*0.001</f>
        <v>2.0043333333333333</v>
      </c>
      <c r="BA25" s="74">
        <f>SUM(AX25:AZ25)</f>
        <v>3.7223333333333333</v>
      </c>
      <c r="BC25" s="42"/>
      <c r="BD25" s="20" t="s">
        <v>72</v>
      </c>
      <c r="BE25" s="47" t="s">
        <v>73</v>
      </c>
      <c r="BF25" s="47" t="s">
        <v>74</v>
      </c>
      <c r="BG25" s="75" t="s">
        <v>23</v>
      </c>
    </row>
    <row r="26" spans="2:66" ht="34.5" customHeight="1">
      <c r="B26" s="200" t="s">
        <v>506</v>
      </c>
      <c r="C26" s="508" t="s">
        <v>168</v>
      </c>
      <c r="D26" s="509"/>
      <c r="E26" s="510"/>
      <c r="J26" s="434"/>
      <c r="K26" s="434"/>
      <c r="L26" s="434"/>
      <c r="M26" s="434"/>
      <c r="N26" s="434"/>
      <c r="O26" s="434"/>
      <c r="P26" s="434"/>
      <c r="AL26" s="49">
        <v>1089.8716627754745</v>
      </c>
      <c r="AM26" s="49">
        <v>390.49960475903077</v>
      </c>
      <c r="AR26" s="279">
        <f>$AT$24/(AR12+$C$7)</f>
        <v>3.5998249963540907</v>
      </c>
      <c r="AS26" s="283">
        <f t="shared" ref="AS26:AS27" si="19">INT(AR26)</f>
        <v>3</v>
      </c>
      <c r="AT26" s="286"/>
      <c r="AW26" s="14" t="s">
        <v>105</v>
      </c>
      <c r="AX26" s="76">
        <f>$N$31*AX13*0.001</f>
        <v>5.8159999999999998</v>
      </c>
      <c r="AY26" s="77">
        <f>$N$31*AY13*0.001</f>
        <v>4.3620000000000001</v>
      </c>
      <c r="AZ26" s="78">
        <f>$N$31*AZ13*0.001</f>
        <v>0</v>
      </c>
      <c r="BA26" s="74">
        <f>SUM(AX26:AZ26)</f>
        <v>10.178000000000001</v>
      </c>
      <c r="BC26" s="24" t="s">
        <v>144</v>
      </c>
      <c r="BD26" s="20">
        <f>C46*$C$4</f>
        <v>792</v>
      </c>
      <c r="BE26" s="47">
        <f>D46*$C$4</f>
        <v>792</v>
      </c>
      <c r="BF26" s="47">
        <f>E46*$C$4</f>
        <v>1848</v>
      </c>
      <c r="BG26" s="48">
        <f t="shared" ref="BG26:BG33" si="20">SUM(BD26:BF26)</f>
        <v>3432</v>
      </c>
    </row>
    <row r="27" spans="2:66" ht="30" customHeight="1">
      <c r="B27" s="474" t="s">
        <v>576</v>
      </c>
      <c r="C27" s="446" t="s">
        <v>172</v>
      </c>
      <c r="D27" s="444" t="s">
        <v>171</v>
      </c>
      <c r="E27" s="444" t="s">
        <v>192</v>
      </c>
      <c r="J27" s="487" t="s">
        <v>77</v>
      </c>
      <c r="K27" s="487"/>
      <c r="L27" s="487"/>
      <c r="M27" s="487"/>
      <c r="N27" s="487"/>
      <c r="O27" s="434"/>
      <c r="P27" s="434"/>
      <c r="AR27" s="284">
        <f>$AT$24/(AR13+$C$7)</f>
        <v>1.7559934552180407</v>
      </c>
      <c r="AS27" s="285">
        <f t="shared" si="19"/>
        <v>1</v>
      </c>
      <c r="AT27" s="293"/>
      <c r="AW27" s="14" t="s">
        <v>106</v>
      </c>
      <c r="AX27" s="76">
        <f>$N$33*AX14*0.001</f>
        <v>2.5945453551912605</v>
      </c>
      <c r="AY27" s="77">
        <f>$N$33*AY14*0.001</f>
        <v>0</v>
      </c>
      <c r="AZ27" s="78">
        <f>$N$33*AZ14*0.001</f>
        <v>0</v>
      </c>
      <c r="BA27" s="74">
        <f>SUM(AX27:AZ27)</f>
        <v>2.5945453551912605</v>
      </c>
      <c r="BC27" s="29" t="s">
        <v>143</v>
      </c>
      <c r="BD27" s="59">
        <f>BK36*$C$4*AN30+BK37*$C$4*AN31+AN32*$C$4*BK38</f>
        <v>100026.08767158184</v>
      </c>
      <c r="BE27" s="60">
        <f>BL36*$C$4*AO30+BL37*$C$4*AO31+BL38*$C$4*AO32</f>
        <v>110028.69643874004</v>
      </c>
      <c r="BF27" s="60">
        <f>BM36*$C$4*AP30+BM37*$C$4*AP31+BM38*$C$4*AP32</f>
        <v>285165.65644971858</v>
      </c>
      <c r="BG27" s="61">
        <f t="shared" si="20"/>
        <v>495220.44056004047</v>
      </c>
      <c r="BH27" s="79">
        <f>BG27/BG21</f>
        <v>1</v>
      </c>
    </row>
    <row r="28" spans="2:66" ht="34.5" customHeight="1">
      <c r="B28" s="475"/>
      <c r="C28" s="258">
        <v>0.34</v>
      </c>
      <c r="D28" s="447">
        <v>0.34</v>
      </c>
      <c r="E28" s="250">
        <f>1-C28-D28</f>
        <v>0.3199999999999999</v>
      </c>
      <c r="J28" s="491" t="s">
        <v>78</v>
      </c>
      <c r="K28" s="159" t="s">
        <v>94</v>
      </c>
      <c r="L28" s="159" t="s">
        <v>79</v>
      </c>
      <c r="M28" s="159" t="s">
        <v>80</v>
      </c>
      <c r="N28" s="190" t="s">
        <v>81</v>
      </c>
      <c r="O28" s="434"/>
      <c r="P28" s="434"/>
      <c r="AL28" s="80"/>
      <c r="AW28" s="81" t="s">
        <v>107</v>
      </c>
      <c r="AX28" s="82">
        <f>$N$35*AX15*0.001</f>
        <v>0</v>
      </c>
      <c r="AY28" s="83">
        <f>$N$35*AY15*0.001</f>
        <v>0</v>
      </c>
      <c r="AZ28" s="84">
        <f>$N$35*AZ15*0.001</f>
        <v>0</v>
      </c>
      <c r="BA28" s="74">
        <f>SUM(AX28:AZ28)</f>
        <v>0</v>
      </c>
      <c r="BC28" s="30" t="s">
        <v>134</v>
      </c>
      <c r="BD28" s="42">
        <f>C47*$C$4</f>
        <v>132</v>
      </c>
      <c r="BE28" s="42">
        <f>D47*$C$4</f>
        <v>264</v>
      </c>
      <c r="BF28" s="42">
        <f>E47*$C$4</f>
        <v>528</v>
      </c>
      <c r="BG28" s="85">
        <f t="shared" si="20"/>
        <v>924</v>
      </c>
    </row>
    <row r="29" spans="2:66" ht="38.25" customHeight="1">
      <c r="B29" s="476"/>
      <c r="C29" s="448">
        <f>IF(AP23&lt;0,0,AP23)</f>
        <v>7</v>
      </c>
      <c r="D29" s="448">
        <f>IF(AQ23&lt;0,0,AQ23)</f>
        <v>7</v>
      </c>
      <c r="E29" s="448">
        <f>IF(AN4&lt;0,0,AN4)</f>
        <v>6</v>
      </c>
      <c r="J29" s="492"/>
      <c r="K29" s="166">
        <v>138</v>
      </c>
      <c r="L29" s="166">
        <v>109.5</v>
      </c>
      <c r="M29" s="166">
        <v>182</v>
      </c>
      <c r="N29" s="164">
        <f>SUM(K29:M29)/3</f>
        <v>143.16666666666666</v>
      </c>
      <c r="O29" s="434"/>
      <c r="P29" s="434"/>
      <c r="AK29" s="261"/>
      <c r="AL29" s="365"/>
      <c r="AM29" s="381"/>
      <c r="AN29" s="380" t="s">
        <v>72</v>
      </c>
      <c r="AO29" s="380" t="s">
        <v>73</v>
      </c>
      <c r="AP29" s="273" t="s">
        <v>74</v>
      </c>
      <c r="AQ29" s="279"/>
      <c r="AR29" s="31" t="s">
        <v>75</v>
      </c>
      <c r="BC29" s="23" t="s">
        <v>135</v>
      </c>
      <c r="BD29" s="86">
        <f>BD28*AL19</f>
        <v>11921.17117117117</v>
      </c>
      <c r="BE29" s="86">
        <f t="shared" ref="BE29:BF29" si="21">BE28*AM19</f>
        <v>26226.576576576579</v>
      </c>
      <c r="BF29" s="86">
        <f t="shared" si="21"/>
        <v>57221.62162162162</v>
      </c>
      <c r="BG29" s="51">
        <f t="shared" si="20"/>
        <v>95369.369369369379</v>
      </c>
      <c r="BH29" s="79">
        <f>BG29/BD21</f>
        <v>0.3995125946345458</v>
      </c>
      <c r="BJ29" s="6"/>
      <c r="BK29" s="283"/>
      <c r="BL29" s="283"/>
      <c r="BM29" s="283"/>
    </row>
    <row r="30" spans="2:66" ht="34.5" customHeight="1">
      <c r="B30" s="200" t="s">
        <v>175</v>
      </c>
      <c r="C30" s="452" t="s">
        <v>511</v>
      </c>
      <c r="D30" s="460"/>
      <c r="E30" s="453"/>
      <c r="J30" s="491" t="s">
        <v>82</v>
      </c>
      <c r="K30" s="160" t="s">
        <v>83</v>
      </c>
      <c r="L30" s="161" t="s">
        <v>84</v>
      </c>
      <c r="M30" s="159" t="s">
        <v>85</v>
      </c>
      <c r="N30" s="190" t="s">
        <v>81</v>
      </c>
      <c r="O30" s="434"/>
      <c r="P30" s="434"/>
      <c r="AK30" s="261"/>
      <c r="AL30" s="366"/>
      <c r="AM30" s="381" t="s">
        <v>172</v>
      </c>
      <c r="AN30" s="382">
        <v>126.29556524189627</v>
      </c>
      <c r="AO30" s="382">
        <v>138.92512176608591</v>
      </c>
      <c r="AP30" s="383">
        <v>151.55467829027552</v>
      </c>
      <c r="AQ30" s="279"/>
      <c r="AR30" s="31" t="s">
        <v>76</v>
      </c>
      <c r="AS30" s="274">
        <f>ROUNDUP(AL5,0)</f>
        <v>20</v>
      </c>
      <c r="AT30" s="274">
        <f t="shared" ref="AT30:AU30" si="22">ROUNDUP(AM5,0)</f>
        <v>7</v>
      </c>
      <c r="AU30" s="274">
        <f t="shared" si="22"/>
        <v>3</v>
      </c>
      <c r="AW30" s="483" t="s">
        <v>125</v>
      </c>
      <c r="AX30" s="484"/>
      <c r="AY30" s="484"/>
      <c r="AZ30" s="484"/>
      <c r="BA30" s="485"/>
      <c r="BC30" s="24" t="s">
        <v>140</v>
      </c>
      <c r="BD30" s="20">
        <f>C48*$C$4</f>
        <v>528</v>
      </c>
      <c r="BE30" s="47">
        <f>D48*$C$4</f>
        <v>792</v>
      </c>
      <c r="BF30" s="47">
        <f>E48*$C$4</f>
        <v>0</v>
      </c>
      <c r="BG30" s="48">
        <f t="shared" si="20"/>
        <v>1320</v>
      </c>
      <c r="BH30" s="79"/>
      <c r="BJ30" s="373"/>
      <c r="BK30" s="374"/>
      <c r="BL30" s="374"/>
      <c r="BM30" s="374"/>
      <c r="BN30" s="283"/>
    </row>
    <row r="31" spans="2:66" ht="37.5" customHeight="1">
      <c r="B31" s="506" t="s">
        <v>176</v>
      </c>
      <c r="C31" s="502" t="s">
        <v>551</v>
      </c>
      <c r="D31" s="503"/>
      <c r="E31" s="445" t="s">
        <v>168</v>
      </c>
      <c r="J31" s="492"/>
      <c r="K31" s="166">
        <v>235</v>
      </c>
      <c r="L31" s="166">
        <v>241</v>
      </c>
      <c r="M31" s="191">
        <v>251</v>
      </c>
      <c r="N31" s="164">
        <f>SUM(K31:M31)/3</f>
        <v>242.33333333333334</v>
      </c>
      <c r="O31" s="434"/>
      <c r="P31" s="434"/>
      <c r="AK31" s="261"/>
      <c r="AL31" s="365"/>
      <c r="AM31" s="381" t="s">
        <v>171</v>
      </c>
      <c r="AN31" s="382">
        <v>142.37072612980475</v>
      </c>
      <c r="AO31" s="382">
        <v>156.60779874278526</v>
      </c>
      <c r="AP31" s="383">
        <v>170.84487135576569</v>
      </c>
      <c r="AQ31" s="279"/>
      <c r="AS31" s="274">
        <f>ROUNDUP(AL6,0)</f>
        <v>14</v>
      </c>
      <c r="AT31" s="274">
        <f t="shared" ref="AT31:AU31" si="23">ROUNDUP(AM6,0)</f>
        <v>11</v>
      </c>
      <c r="AU31" s="274">
        <f t="shared" si="23"/>
        <v>5</v>
      </c>
      <c r="AW31" s="15" t="s">
        <v>101</v>
      </c>
      <c r="AX31" s="32" t="s">
        <v>20</v>
      </c>
      <c r="AY31" s="33" t="s">
        <v>102</v>
      </c>
      <c r="AZ31" s="14" t="s">
        <v>103</v>
      </c>
      <c r="BA31" s="15" t="s">
        <v>43</v>
      </c>
      <c r="BC31" s="25" t="s">
        <v>136</v>
      </c>
      <c r="BD31" s="53">
        <f>BD30*AL20</f>
        <v>49780.821917808214</v>
      </c>
      <c r="BE31" s="50">
        <f t="shared" ref="BE31:BF31" si="24">BE30*AM20</f>
        <v>82138.356164383556</v>
      </c>
      <c r="BF31" s="50">
        <f t="shared" si="24"/>
        <v>0</v>
      </c>
      <c r="BG31" s="61">
        <f t="shared" si="20"/>
        <v>131919.17808219176</v>
      </c>
      <c r="BH31" s="79">
        <f>BG31/BE21</f>
        <v>0.72602739726027399</v>
      </c>
      <c r="BJ31" s="373"/>
      <c r="BK31" s="375"/>
      <c r="BL31" s="375"/>
      <c r="BM31" s="375"/>
      <c r="BN31" s="283"/>
    </row>
    <row r="32" spans="2:66" ht="34.5" customHeight="1">
      <c r="B32" s="507"/>
      <c r="C32" s="504" t="s">
        <v>481</v>
      </c>
      <c r="D32" s="505"/>
      <c r="E32" s="445" t="s">
        <v>174</v>
      </c>
      <c r="J32" s="491" t="s">
        <v>86</v>
      </c>
      <c r="K32" s="162" t="s">
        <v>87</v>
      </c>
      <c r="L32" s="161" t="s">
        <v>88</v>
      </c>
      <c r="M32" s="159" t="s">
        <v>89</v>
      </c>
      <c r="N32" s="190" t="s">
        <v>81</v>
      </c>
      <c r="O32" s="434"/>
      <c r="P32" s="434"/>
      <c r="AM32" s="380" t="s">
        <v>192</v>
      </c>
      <c r="AN32" s="384">
        <v>180.85099779903351</v>
      </c>
      <c r="AO32" s="384">
        <v>198.93609757893688</v>
      </c>
      <c r="AP32" s="385">
        <v>217.0211973588402</v>
      </c>
      <c r="AQ32" s="279"/>
      <c r="AR32" s="39"/>
      <c r="AS32" s="251">
        <f>ROUNDUP(AL15,0)</f>
        <v>7</v>
      </c>
      <c r="AT32" s="251">
        <f>ROUNDUP(AM15,0)</f>
        <v>4</v>
      </c>
      <c r="AW32" s="16" t="s">
        <v>104</v>
      </c>
      <c r="AX32" s="71">
        <f>$N$29*AX19*0.001</f>
        <v>6.0129999999999999</v>
      </c>
      <c r="AY32" s="72">
        <f>$N$29*AY19*0.001</f>
        <v>3.4359999999999999</v>
      </c>
      <c r="AZ32" s="73">
        <f>$N$29*AZ19*0.001</f>
        <v>9.0195000000000007</v>
      </c>
      <c r="BA32" s="74">
        <f>SUM(AX32:AZ32)</f>
        <v>18.468499999999999</v>
      </c>
      <c r="BC32" s="24" t="s">
        <v>141</v>
      </c>
      <c r="BD32" s="20">
        <f>C49*$C$4</f>
        <v>282.99453551912603</v>
      </c>
      <c r="BE32" s="47">
        <f>D49*$C$4</f>
        <v>0</v>
      </c>
      <c r="BF32" s="47">
        <f>E49*$C$4</f>
        <v>0</v>
      </c>
      <c r="BG32" s="85">
        <f t="shared" si="20"/>
        <v>282.99453551912603</v>
      </c>
      <c r="BH32" s="79"/>
      <c r="BJ32" s="376"/>
      <c r="BK32" s="293" t="s">
        <v>72</v>
      </c>
      <c r="BL32" s="372" t="s">
        <v>73</v>
      </c>
      <c r="BM32" s="372" t="s">
        <v>74</v>
      </c>
      <c r="BN32" s="272" t="s">
        <v>23</v>
      </c>
    </row>
    <row r="33" spans="2:66" ht="36" customHeight="1">
      <c r="B33" s="506" t="s">
        <v>486</v>
      </c>
      <c r="C33" s="502" t="s">
        <v>552</v>
      </c>
      <c r="D33" s="503"/>
      <c r="E33" s="445" t="s">
        <v>168</v>
      </c>
      <c r="J33" s="492"/>
      <c r="K33" s="166">
        <v>261.10000000000002</v>
      </c>
      <c r="L33" s="191">
        <v>165</v>
      </c>
      <c r="M33" s="166">
        <v>179</v>
      </c>
      <c r="N33" s="164">
        <f>SUM(K33:M33)/3</f>
        <v>201.70000000000002</v>
      </c>
      <c r="O33" s="434"/>
      <c r="P33" s="434"/>
      <c r="AK33" s="49"/>
      <c r="AL33" s="49"/>
      <c r="AM33" s="380" t="s">
        <v>172</v>
      </c>
      <c r="AN33" s="386">
        <v>6</v>
      </c>
      <c r="AO33" s="386">
        <v>6</v>
      </c>
      <c r="AP33" s="387">
        <v>6</v>
      </c>
      <c r="AQ33" s="279"/>
      <c r="AS33" s="234">
        <f>ROUNDUP(AL16,0)</f>
        <v>4</v>
      </c>
      <c r="AT33" s="234">
        <f>ROUNDUP(AM16,0)</f>
        <v>3</v>
      </c>
      <c r="AW33" s="14" t="s">
        <v>105</v>
      </c>
      <c r="AX33" s="76">
        <f>$N$31*AX20*0.001</f>
        <v>5.8159999999999998</v>
      </c>
      <c r="AY33" s="77">
        <f>$N$31*AY20*0.001</f>
        <v>4.3620000000000001</v>
      </c>
      <c r="AZ33" s="78">
        <f>$N$31*AZ20*0.001</f>
        <v>0</v>
      </c>
      <c r="BA33" s="74">
        <f>SUM(AX33:AZ33)</f>
        <v>10.178000000000001</v>
      </c>
      <c r="BC33" s="25" t="s">
        <v>137</v>
      </c>
      <c r="BD33" s="59">
        <f>BD32*AL21</f>
        <v>12940.906307409679</v>
      </c>
      <c r="BE33" s="60">
        <f t="shared" ref="BE33:BF33" si="25">BE32*AM21</f>
        <v>0</v>
      </c>
      <c r="BF33" s="60">
        <f t="shared" si="25"/>
        <v>0</v>
      </c>
      <c r="BG33" s="61">
        <f t="shared" si="20"/>
        <v>12940.906307409679</v>
      </c>
      <c r="BH33" s="79">
        <f>BG33/BF21</f>
        <v>0.1638089406001226</v>
      </c>
      <c r="BI33" s="297" t="s">
        <v>564</v>
      </c>
      <c r="BJ33" s="371" t="s">
        <v>172</v>
      </c>
      <c r="BK33" s="310">
        <v>36</v>
      </c>
      <c r="BL33" s="310">
        <v>18</v>
      </c>
      <c r="BM33" s="310">
        <v>42</v>
      </c>
      <c r="BN33" s="201">
        <f>SUM(BK33:BM33)</f>
        <v>96</v>
      </c>
    </row>
    <row r="34" spans="2:66" ht="33" customHeight="1">
      <c r="B34" s="507"/>
      <c r="C34" s="504" t="s">
        <v>482</v>
      </c>
      <c r="D34" s="505"/>
      <c r="E34" s="445" t="s">
        <v>485</v>
      </c>
      <c r="J34" s="491" t="s">
        <v>90</v>
      </c>
      <c r="K34" s="163" t="s">
        <v>91</v>
      </c>
      <c r="L34" s="159" t="s">
        <v>92</v>
      </c>
      <c r="M34" s="161" t="s">
        <v>93</v>
      </c>
      <c r="N34" s="190" t="s">
        <v>81</v>
      </c>
      <c r="O34" s="434"/>
      <c r="P34" s="434"/>
      <c r="AK34" s="49"/>
      <c r="AL34" s="49"/>
      <c r="AM34" s="380" t="s">
        <v>171</v>
      </c>
      <c r="AN34" s="388">
        <v>6</v>
      </c>
      <c r="AO34" s="388">
        <v>6</v>
      </c>
      <c r="AP34" s="389">
        <v>6</v>
      </c>
      <c r="AQ34" s="279"/>
      <c r="AS34" s="367">
        <f>IF(C16-SUM(AS32:AS33)&lt;0,"Error",C16-SUM(AS32:AS33))</f>
        <v>3</v>
      </c>
      <c r="AT34" s="367">
        <f>IF(D16-SUM(AT32:AT33)&lt;0,"Error",D16-SUM(AT32:AT33))</f>
        <v>4</v>
      </c>
      <c r="AW34" s="81" t="s">
        <v>106</v>
      </c>
      <c r="AX34" s="82">
        <f>$N$33*AX21*0.001</f>
        <v>2.5945453551912605</v>
      </c>
      <c r="AY34" s="83">
        <f>$N$33*AY21*0.001</f>
        <v>0</v>
      </c>
      <c r="AZ34" s="84">
        <f>$N$33*AZ21*0.001</f>
        <v>0</v>
      </c>
      <c r="BA34" s="74">
        <f>SUM(AX34:AZ34)</f>
        <v>2.5945453551912605</v>
      </c>
      <c r="BG34" s="87">
        <f>SUM(BG27,BG29,BG31,BG33)</f>
        <v>735449.89431901125</v>
      </c>
      <c r="BH34" s="87">
        <f>BH21+(((C23/SUM(P16:P18))*SUM(P23:P25))*C6*C4)</f>
        <v>2780594.7405600413</v>
      </c>
      <c r="BJ34" s="309" t="s">
        <v>171</v>
      </c>
      <c r="BK34" s="310">
        <v>0</v>
      </c>
      <c r="BL34" s="310">
        <v>0</v>
      </c>
      <c r="BM34" s="310">
        <v>7</v>
      </c>
      <c r="BN34" s="201">
        <f t="shared" ref="BN34:BN38" si="26">SUM(BK34:BM34)</f>
        <v>7</v>
      </c>
    </row>
    <row r="35" spans="2:66" ht="32.25" customHeight="1">
      <c r="B35" s="200" t="s">
        <v>507</v>
      </c>
      <c r="C35" s="502" t="s">
        <v>508</v>
      </c>
      <c r="D35" s="503"/>
      <c r="E35" s="445" t="s">
        <v>168</v>
      </c>
      <c r="J35" s="492"/>
      <c r="K35" s="166">
        <v>0</v>
      </c>
      <c r="L35" s="191">
        <v>0</v>
      </c>
      <c r="M35" s="191">
        <v>0</v>
      </c>
      <c r="N35" s="165">
        <v>0</v>
      </c>
      <c r="O35" s="434"/>
      <c r="P35" s="434"/>
      <c r="AM35" s="380" t="s">
        <v>192</v>
      </c>
      <c r="AN35" s="388">
        <v>-8</v>
      </c>
      <c r="AO35" s="388">
        <v>-11</v>
      </c>
      <c r="AP35" s="389">
        <v>-6</v>
      </c>
      <c r="AQ35" s="279"/>
      <c r="AR35" s="39"/>
      <c r="AS35" s="90">
        <f>ROUNDUP(AL4,0)</f>
        <v>7</v>
      </c>
      <c r="AT35" s="391">
        <f>ROUNDUP(AM4,0)</f>
        <v>7</v>
      </c>
      <c r="AW35" s="88"/>
      <c r="AX35" s="77"/>
      <c r="AY35" s="77"/>
      <c r="AZ35" s="77"/>
      <c r="BA35" s="77"/>
      <c r="BD35" s="27" t="s">
        <v>138</v>
      </c>
      <c r="BE35" s="37"/>
      <c r="BF35" s="37"/>
      <c r="BG35" s="89">
        <f>BG15</f>
        <v>250000</v>
      </c>
      <c r="BJ35" s="309" t="s">
        <v>192</v>
      </c>
      <c r="BK35" s="310">
        <v>0</v>
      </c>
      <c r="BL35" s="310">
        <v>0</v>
      </c>
      <c r="BM35" s="310">
        <v>0</v>
      </c>
      <c r="BN35" s="201">
        <f t="shared" si="26"/>
        <v>0</v>
      </c>
    </row>
    <row r="36" spans="2:66" ht="45.75" customHeight="1">
      <c r="AR36" s="425"/>
      <c r="AS36" s="426"/>
      <c r="AT36" s="426"/>
      <c r="AU36" s="426"/>
      <c r="AV36" s="69"/>
      <c r="BD36" s="28">
        <v>4</v>
      </c>
      <c r="BE36" s="67">
        <f>BD21-BG29</f>
        <v>143344.93063063067</v>
      </c>
      <c r="BF36" s="68">
        <f>SUM(BE36:BE38)</f>
        <v>259184.84624102915</v>
      </c>
      <c r="BG36" s="89">
        <f>BG35+BH34</f>
        <v>3030594.7405600413</v>
      </c>
      <c r="BI36" s="301" t="s">
        <v>496</v>
      </c>
      <c r="BJ36" s="309" t="s">
        <v>172</v>
      </c>
      <c r="BK36" s="310">
        <v>36</v>
      </c>
      <c r="BL36" s="310">
        <v>36</v>
      </c>
      <c r="BM36" s="310">
        <v>72</v>
      </c>
      <c r="BN36" s="201">
        <f t="shared" si="26"/>
        <v>144</v>
      </c>
    </row>
    <row r="37" spans="2:66" ht="51.75" customHeight="1">
      <c r="AK37" s="490" t="s">
        <v>510</v>
      </c>
      <c r="AL37" s="490"/>
      <c r="AM37" s="490"/>
      <c r="AN37" s="490"/>
      <c r="AO37" s="490"/>
      <c r="AP37" s="490"/>
      <c r="AQ37" s="415"/>
      <c r="AR37" s="427">
        <f>IF(AR38&lt;0,AN33+AR38+1,AN33)</f>
        <v>6</v>
      </c>
      <c r="AS37" s="427">
        <f t="shared" ref="AS37:AT37" si="27">IF(AS38&lt;0,AO33+AS38+1,AO33)</f>
        <v>3</v>
      </c>
      <c r="AT37" s="427">
        <f t="shared" si="27"/>
        <v>6</v>
      </c>
      <c r="AU37" s="426"/>
      <c r="AV37" s="69"/>
      <c r="BD37" s="42">
        <v>7</v>
      </c>
      <c r="BE37" s="62">
        <f>BE21-BG31</f>
        <v>49780.821917808207</v>
      </c>
      <c r="BF37" s="66"/>
      <c r="BJ37" s="309" t="s">
        <v>171</v>
      </c>
      <c r="BK37" s="310">
        <v>0</v>
      </c>
      <c r="BL37" s="310">
        <v>0</v>
      </c>
      <c r="BM37" s="310">
        <v>12</v>
      </c>
      <c r="BN37" s="201">
        <f t="shared" si="26"/>
        <v>12</v>
      </c>
    </row>
    <row r="38" spans="2:66" ht="25.5" customHeight="1">
      <c r="B38" s="451" t="s">
        <v>18</v>
      </c>
      <c r="C38" s="451"/>
      <c r="D38" s="451"/>
      <c r="E38" s="451"/>
      <c r="F38" s="451"/>
      <c r="J38" s="451" t="s">
        <v>192</v>
      </c>
      <c r="K38" s="451"/>
      <c r="L38" s="451"/>
      <c r="N38" s="451" t="s">
        <v>171</v>
      </c>
      <c r="O38" s="451"/>
      <c r="P38" s="451"/>
      <c r="R38" s="451" t="s">
        <v>172</v>
      </c>
      <c r="S38" s="451"/>
      <c r="T38" s="451"/>
      <c r="AK38" s="394"/>
      <c r="AL38" s="394"/>
      <c r="AM38" s="394"/>
      <c r="AN38" s="394"/>
      <c r="AO38" s="394"/>
      <c r="AP38" s="394"/>
      <c r="AQ38" s="415"/>
      <c r="AR38" s="427">
        <f>IF(AN35&lt;0,AN34+AN35+1,AN34)</f>
        <v>-1</v>
      </c>
      <c r="AS38" s="427">
        <f t="shared" ref="AS38:AT38" si="28">IF(AO35&lt;0,AO34+AO35+1,AO34)</f>
        <v>-4</v>
      </c>
      <c r="AT38" s="427">
        <f t="shared" si="28"/>
        <v>1</v>
      </c>
      <c r="AU38" s="426"/>
      <c r="AV38" s="69"/>
      <c r="BD38" s="42">
        <v>12</v>
      </c>
      <c r="BE38" s="62">
        <f>BF21-BG33</f>
        <v>66059.093692590279</v>
      </c>
      <c r="BF38" s="37"/>
      <c r="BJ38" s="309" t="s">
        <v>192</v>
      </c>
      <c r="BK38" s="310">
        <v>0</v>
      </c>
      <c r="BL38" s="310">
        <v>0</v>
      </c>
      <c r="BM38" s="310">
        <v>0</v>
      </c>
      <c r="BN38" s="201">
        <f t="shared" si="26"/>
        <v>0</v>
      </c>
    </row>
    <row r="39" spans="2:66" ht="29.25" customHeight="1">
      <c r="B39" s="146" t="s">
        <v>19</v>
      </c>
      <c r="C39" s="182" t="s">
        <v>162</v>
      </c>
      <c r="D39" s="182" t="s">
        <v>163</v>
      </c>
      <c r="E39" s="182" t="s">
        <v>164</v>
      </c>
      <c r="F39" s="183" t="s">
        <v>23</v>
      </c>
      <c r="J39" s="308" t="s">
        <v>514</v>
      </c>
      <c r="K39" s="514" t="s">
        <v>469</v>
      </c>
      <c r="L39" s="514"/>
      <c r="N39" s="308" t="s">
        <v>514</v>
      </c>
      <c r="O39" s="456" t="s">
        <v>494</v>
      </c>
      <c r="P39" s="456"/>
      <c r="R39" s="308" t="s">
        <v>514</v>
      </c>
      <c r="S39" s="456" t="s">
        <v>467</v>
      </c>
      <c r="T39" s="456"/>
      <c r="AJ39" s="216"/>
      <c r="AK39" s="395"/>
      <c r="AL39" s="396" t="s">
        <v>464</v>
      </c>
      <c r="AM39" s="396" t="s">
        <v>465</v>
      </c>
      <c r="AN39" s="396" t="s">
        <v>480</v>
      </c>
      <c r="AO39" s="396" t="s">
        <v>466</v>
      </c>
      <c r="AP39" s="431" t="s">
        <v>470</v>
      </c>
      <c r="AQ39" s="418"/>
      <c r="AR39" s="427">
        <f t="shared" ref="AR39:AT39" si="29">IF(AN35&lt;0,0,AN35)</f>
        <v>0</v>
      </c>
      <c r="AS39" s="427">
        <f t="shared" si="29"/>
        <v>0</v>
      </c>
      <c r="AT39" s="427">
        <f t="shared" si="29"/>
        <v>0</v>
      </c>
      <c r="AU39" s="426"/>
      <c r="AV39" s="69"/>
      <c r="BD39" s="90"/>
      <c r="BE39" s="91"/>
    </row>
    <row r="40" spans="2:66" ht="23.25" customHeight="1">
      <c r="B40" s="147" t="s">
        <v>24</v>
      </c>
      <c r="C40" s="168">
        <f>SUM(BK33:BK35)</f>
        <v>36</v>
      </c>
      <c r="D40" s="168">
        <f t="shared" ref="D40:E40" si="30">SUM(BL33:BL35)</f>
        <v>18</v>
      </c>
      <c r="E40" s="168">
        <f t="shared" si="30"/>
        <v>49</v>
      </c>
      <c r="F40" s="173">
        <f>SUM(C40:E40)</f>
        <v>103</v>
      </c>
      <c r="J40" s="308" t="s">
        <v>198</v>
      </c>
      <c r="K40" s="454">
        <f>INDEX('EV Models '!$B$57:$M$64,MATCH($K$39,'EV Models '!$B$57:$B$64,0),2)</f>
        <v>312</v>
      </c>
      <c r="L40" s="454"/>
      <c r="N40" s="308" t="s">
        <v>512</v>
      </c>
      <c r="O40" s="454">
        <f>INDEX('EV Models '!$B$57:$M$64,MATCH($O$39,'EV Models '!$B$57:$B$64,0),2)</f>
        <v>125</v>
      </c>
      <c r="P40" s="454"/>
      <c r="R40" s="308" t="s">
        <v>512</v>
      </c>
      <c r="S40" s="454">
        <f>INDEX('EV Models '!$B$57:$M$64,MATCH($S$39,'EV Models '!$B$57:$B$64,0),2)</f>
        <v>125</v>
      </c>
      <c r="T40" s="454"/>
      <c r="AJ40" s="216"/>
      <c r="AK40" s="398" t="s">
        <v>463</v>
      </c>
      <c r="AL40" s="399">
        <f>(540000+555000+552000+505000+1107500+520000)/6</f>
        <v>629916.66666666663</v>
      </c>
      <c r="AM40" s="398" t="e">
        <f>IF($C$25=AJ41,105000,(105000/12)*$C$26)</f>
        <v>#VALUE!</v>
      </c>
      <c r="AN40" s="398" t="e">
        <f>IF($C$25=AJ41,64350,(64350/12)*$C$26)</f>
        <v>#VALUE!</v>
      </c>
      <c r="AO40" s="400" t="e">
        <f t="shared" ref="AO40:AO47" si="31">SUM(AL40:AN40)</f>
        <v>#VALUE!</v>
      </c>
      <c r="AP40" s="432"/>
      <c r="AQ40" s="419" t="s">
        <v>172</v>
      </c>
      <c r="AR40" s="428">
        <f>IF(AR37&lt;0,0,AR37)</f>
        <v>6</v>
      </c>
      <c r="AS40" s="428">
        <f t="shared" ref="AS40:AT40" si="32">IF(AS37&lt;0,0,AS37)</f>
        <v>3</v>
      </c>
      <c r="AT40" s="428">
        <f t="shared" si="32"/>
        <v>6</v>
      </c>
      <c r="AU40" s="426">
        <f>SUM(AR40:AT40)</f>
        <v>15</v>
      </c>
      <c r="AV40" s="69"/>
    </row>
    <row r="41" spans="2:66" ht="27" customHeight="1">
      <c r="B41" s="147" t="s">
        <v>25</v>
      </c>
      <c r="C41" s="168">
        <v>6</v>
      </c>
      <c r="D41" s="168">
        <v>6</v>
      </c>
      <c r="E41" s="168">
        <v>14</v>
      </c>
      <c r="F41" s="173">
        <f>SUM(C41:E41)</f>
        <v>26</v>
      </c>
      <c r="J41" s="308" t="s">
        <v>207</v>
      </c>
      <c r="K41" s="454" t="str">
        <f>INDEX('EV Models '!$B$57:$M$64,MATCH($K$39,'EV Models '!$B$57:$B$64,0),3)</f>
        <v>0-100 km/hr in 9.9s</v>
      </c>
      <c r="L41" s="454"/>
      <c r="N41" s="308" t="s">
        <v>207</v>
      </c>
      <c r="O41" s="454" t="str">
        <f>INDEX('EV Models '!$B$57:$M$64,MATCH($O$39,'EV Models '!$B$57:$B$64,0),3)</f>
        <v>0-60 km/hr in 10.7 (C2, C4 &amp; C6),
0-60 km/hr in 11.2 (D2, D4 &amp; D6)</v>
      </c>
      <c r="P41" s="454"/>
      <c r="R41" s="308" t="s">
        <v>207</v>
      </c>
      <c r="S41" s="454" t="str">
        <f>INDEX('EV Models '!$B$57:$M$64,MATCH($S$39,'EV Models '!$B$57:$B$64,0),3)</f>
        <v>0-40 km/hr in 6.3 s,
0-60 km/hr in 14.1 s</v>
      </c>
      <c r="T41" s="454"/>
      <c r="AJ41" s="249" t="s">
        <v>478</v>
      </c>
      <c r="AK41" s="398" t="s">
        <v>495</v>
      </c>
      <c r="AL41" s="399">
        <v>2381233</v>
      </c>
      <c r="AM41" s="398">
        <f>35000</f>
        <v>35000</v>
      </c>
      <c r="AN41" s="402">
        <f>462*12</f>
        <v>5544</v>
      </c>
      <c r="AO41" s="400">
        <f t="shared" si="31"/>
        <v>2421777</v>
      </c>
      <c r="AP41" s="433" t="e">
        <f t="shared" ref="AP41:AP47" si="33">AO41/$AO$40</f>
        <v>#VALUE!</v>
      </c>
      <c r="AQ41" s="419" t="s">
        <v>171</v>
      </c>
      <c r="AR41" s="428">
        <f t="shared" ref="AR41:AT41" si="34">IF(AR38&lt;0,0,AR38)</f>
        <v>0</v>
      </c>
      <c r="AS41" s="428">
        <f t="shared" si="34"/>
        <v>0</v>
      </c>
      <c r="AT41" s="428">
        <f t="shared" si="34"/>
        <v>1</v>
      </c>
      <c r="AU41" s="426">
        <f t="shared" ref="AU41:AU42" si="35">SUM(AR41:AT41)</f>
        <v>1</v>
      </c>
      <c r="AV41" s="69"/>
      <c r="AW41" s="481" t="s">
        <v>108</v>
      </c>
      <c r="AX41" s="481"/>
      <c r="AY41" s="481"/>
      <c r="AZ41" s="481"/>
      <c r="BA41" s="481"/>
      <c r="BB41" s="481"/>
      <c r="BC41" s="481"/>
      <c r="BD41" s="481"/>
      <c r="BE41" s="481"/>
      <c r="BF41" s="481"/>
      <c r="BG41" s="481"/>
      <c r="BH41" s="481"/>
      <c r="BI41" s="482"/>
    </row>
    <row r="42" spans="2:66" ht="24.75" customHeight="1">
      <c r="B42" s="147" t="s">
        <v>26</v>
      </c>
      <c r="C42" s="168">
        <v>24</v>
      </c>
      <c r="D42" s="168">
        <v>18</v>
      </c>
      <c r="E42" s="168">
        <v>0</v>
      </c>
      <c r="F42" s="173">
        <f>SUM(C42:E42)</f>
        <v>42</v>
      </c>
      <c r="J42" s="308" t="s">
        <v>221</v>
      </c>
      <c r="K42" s="454" t="str">
        <f>INDEX('EV Models '!$B$57:$M$64,MATCH($K$39,'EV Models '!$B$57:$B$64,0),4)</f>
        <v>NA</v>
      </c>
      <c r="L42" s="454"/>
      <c r="N42" s="308" t="s">
        <v>221</v>
      </c>
      <c r="O42" s="454" t="str">
        <f>INDEX('EV Models '!$B$57:$M$64,MATCH($O$39,'EV Models '!$B$57:$B$64,0),4)</f>
        <v>80(fleet) &amp; 86(personal)</v>
      </c>
      <c r="P42" s="454"/>
      <c r="R42" s="308" t="s">
        <v>221</v>
      </c>
      <c r="S42" s="454">
        <f>INDEX('EV Models '!$B$57:$M$64,MATCH($S$39,'EV Models '!$B$57:$B$64,0),4)</f>
        <v>80</v>
      </c>
      <c r="T42" s="454"/>
      <c r="AJ42" s="216"/>
      <c r="AK42" s="398" t="s">
        <v>494</v>
      </c>
      <c r="AL42" s="399">
        <v>1032411.5</v>
      </c>
      <c r="AM42" s="398">
        <f>35000</f>
        <v>35000</v>
      </c>
      <c r="AN42" s="402">
        <f t="shared" ref="AN42:AN47" si="36">462*12</f>
        <v>5544</v>
      </c>
      <c r="AO42" s="400">
        <f t="shared" si="31"/>
        <v>1072955.5</v>
      </c>
      <c r="AP42" s="433" t="e">
        <f t="shared" si="33"/>
        <v>#VALUE!</v>
      </c>
      <c r="AQ42" s="419" t="s">
        <v>192</v>
      </c>
      <c r="AR42" s="428">
        <f t="shared" ref="AR42:AT42" si="37">IF(AR39&lt;0,0,AR39)</f>
        <v>0</v>
      </c>
      <c r="AS42" s="428">
        <f t="shared" si="37"/>
        <v>0</v>
      </c>
      <c r="AT42" s="428">
        <f t="shared" si="37"/>
        <v>0</v>
      </c>
      <c r="AU42" s="426">
        <f t="shared" si="35"/>
        <v>0</v>
      </c>
      <c r="AW42" s="488" t="s">
        <v>101</v>
      </c>
      <c r="AX42" s="482" t="s">
        <v>109</v>
      </c>
      <c r="AY42" s="488"/>
      <c r="AZ42" s="488"/>
      <c r="BA42" s="488"/>
      <c r="BB42" s="488" t="s">
        <v>110</v>
      </c>
      <c r="BC42" s="488"/>
      <c r="BD42" s="488"/>
      <c r="BE42" s="488"/>
      <c r="BF42" s="489" t="s">
        <v>111</v>
      </c>
      <c r="BG42" s="489"/>
      <c r="BH42" s="489"/>
      <c r="BI42" s="489"/>
      <c r="BL42" t="s">
        <v>513</v>
      </c>
    </row>
    <row r="43" spans="2:66" ht="25.5" customHeight="1">
      <c r="B43" s="147" t="s">
        <v>27</v>
      </c>
      <c r="C43" s="168">
        <v>12.863387978142093</v>
      </c>
      <c r="D43" s="168">
        <v>0</v>
      </c>
      <c r="E43" s="168">
        <v>0</v>
      </c>
      <c r="F43" s="173">
        <f>SUM(C43:E43)</f>
        <v>12.863387978142093</v>
      </c>
      <c r="J43" s="308" t="s">
        <v>239</v>
      </c>
      <c r="K43" s="454" t="str">
        <f>INDEX('EV Models '!$B$57:$M$64,MATCH($K$39,'EV Models '!$B$57:$B$64,0),5)</f>
        <v xml:space="preserve">Lithium ion </v>
      </c>
      <c r="L43" s="454"/>
      <c r="N43" s="308" t="s">
        <v>239</v>
      </c>
      <c r="O43" s="454" t="str">
        <f>INDEX('EV Models '!$B$57:$M$64,MATCH($O$39,'EV Models '!$B$57:$B$64,0),5)</f>
        <v xml:space="preserve">Lithium ion </v>
      </c>
      <c r="P43" s="454"/>
      <c r="R43" s="308" t="s">
        <v>239</v>
      </c>
      <c r="S43" s="454" t="str">
        <f>INDEX('EV Models '!$B$57:$M$64,MATCH($S$39,'EV Models '!$B$57:$B$64,0),5)</f>
        <v xml:space="preserve">Lithium ion </v>
      </c>
      <c r="T43" s="454"/>
      <c r="AJ43" s="216"/>
      <c r="AK43" s="398" t="s">
        <v>467</v>
      </c>
      <c r="AL43" s="399">
        <v>795301</v>
      </c>
      <c r="AM43" s="398">
        <f>35000</f>
        <v>35000</v>
      </c>
      <c r="AN43" s="402">
        <f t="shared" si="36"/>
        <v>5544</v>
      </c>
      <c r="AO43" s="400">
        <f t="shared" si="31"/>
        <v>835845</v>
      </c>
      <c r="AP43" s="433" t="e">
        <f t="shared" si="33"/>
        <v>#VALUE!</v>
      </c>
      <c r="AQ43" s="420"/>
      <c r="AR43" s="429">
        <f>SUM(AR40:AR42)</f>
        <v>6</v>
      </c>
      <c r="AS43" s="429">
        <f t="shared" ref="AS43:AT43" si="38">SUM(AS40:AS42)</f>
        <v>3</v>
      </c>
      <c r="AT43" s="429">
        <f t="shared" si="38"/>
        <v>7</v>
      </c>
      <c r="AU43" s="21">
        <f>SUM(AU40:AU42)</f>
        <v>16</v>
      </c>
      <c r="AW43" s="488"/>
      <c r="AX43" s="34" t="s">
        <v>20</v>
      </c>
      <c r="AY43" s="19" t="s">
        <v>102</v>
      </c>
      <c r="AZ43" s="16" t="s">
        <v>103</v>
      </c>
      <c r="BA43" s="17" t="s">
        <v>43</v>
      </c>
      <c r="BB43" s="36" t="s">
        <v>20</v>
      </c>
      <c r="BC43" s="19" t="s">
        <v>102</v>
      </c>
      <c r="BD43" s="16" t="s">
        <v>103</v>
      </c>
      <c r="BE43" s="17" t="s">
        <v>43</v>
      </c>
      <c r="BF43" s="35" t="s">
        <v>20</v>
      </c>
      <c r="BG43" s="18" t="s">
        <v>102</v>
      </c>
      <c r="BH43" s="18" t="s">
        <v>103</v>
      </c>
      <c r="BI43" s="17" t="s">
        <v>43</v>
      </c>
    </row>
    <row r="44" spans="2:66" ht="25.5" customHeight="1">
      <c r="B44" s="147" t="s">
        <v>28</v>
      </c>
      <c r="C44" s="169">
        <f>SUM(C40:C43)</f>
        <v>78.8633879781421</v>
      </c>
      <c r="D44" s="169">
        <f t="shared" ref="D44:E44" si="39">SUM(D40:D43)</f>
        <v>42</v>
      </c>
      <c r="E44" s="169">
        <f t="shared" si="39"/>
        <v>63</v>
      </c>
      <c r="F44" s="173">
        <f>SUM(C44:E44)</f>
        <v>183.8633879781421</v>
      </c>
      <c r="J44" s="308" t="s">
        <v>255</v>
      </c>
      <c r="K44" s="454">
        <f>INDEX('EV Models '!$B$57:$M$64,MATCH($K$39,'EV Models '!$B$57:$B$64,0),6)</f>
        <v>60</v>
      </c>
      <c r="L44" s="454"/>
      <c r="N44" s="308" t="s">
        <v>255</v>
      </c>
      <c r="O44" s="454">
        <f>INDEX('EV Models '!$B$57:$M$64,MATCH($O$39,'EV Models '!$B$57:$B$64,0),6)</f>
        <v>85</v>
      </c>
      <c r="P44" s="454"/>
      <c r="R44" s="308" t="s">
        <v>255</v>
      </c>
      <c r="S44" s="454">
        <f>INDEX('EV Models '!$B$57:$M$64,MATCH($S$39,'EV Models '!$B$57:$B$64,0),6)</f>
        <v>95</v>
      </c>
      <c r="T44" s="454"/>
      <c r="AJ44" s="216"/>
      <c r="AK44" s="398" t="s">
        <v>468</v>
      </c>
      <c r="AL44" s="399">
        <v>1070304</v>
      </c>
      <c r="AM44" s="398">
        <f>35000</f>
        <v>35000</v>
      </c>
      <c r="AN44" s="402">
        <f t="shared" si="36"/>
        <v>5544</v>
      </c>
      <c r="AO44" s="400">
        <f t="shared" si="31"/>
        <v>1110848</v>
      </c>
      <c r="AP44" s="433" t="e">
        <f t="shared" si="33"/>
        <v>#VALUE!</v>
      </c>
      <c r="AQ44" s="420"/>
      <c r="AR44" s="392" t="s">
        <v>537</v>
      </c>
      <c r="AS44" s="392" t="s">
        <v>538</v>
      </c>
      <c r="AT44" s="392" t="s">
        <v>537</v>
      </c>
      <c r="AU44" s="392" t="s">
        <v>538</v>
      </c>
      <c r="AW44" s="16" t="s">
        <v>78</v>
      </c>
      <c r="AX44" s="71">
        <f>IFERROR((C47/AX12)*AR6,0)</f>
        <v>20</v>
      </c>
      <c r="AY44" s="72">
        <f>IFERROR((D47/AY12)*AS6,0)</f>
        <v>80</v>
      </c>
      <c r="AZ44" s="73">
        <f>IFERROR((E47/AZ12)*AT6,0)</f>
        <v>171.42857142857142</v>
      </c>
      <c r="BA44" s="136">
        <f>SUM(AX44:AZ44)</f>
        <v>271.42857142857144</v>
      </c>
      <c r="BB44" s="71">
        <f t="shared" ref="BB44:BD47" si="40">AX44*$C$4</f>
        <v>440</v>
      </c>
      <c r="BC44" s="72">
        <f t="shared" si="40"/>
        <v>1760</v>
      </c>
      <c r="BD44" s="73">
        <f t="shared" si="40"/>
        <v>3771.4285714285711</v>
      </c>
      <c r="BE44" s="92">
        <f>SUM(BB44:BD44)</f>
        <v>5971.4285714285706</v>
      </c>
      <c r="BF44" s="72">
        <f>BB44*12</f>
        <v>5280</v>
      </c>
      <c r="BG44" s="72">
        <f t="shared" ref="BG44:BH47" si="41">BC44*12</f>
        <v>21120</v>
      </c>
      <c r="BH44" s="72">
        <f t="shared" si="41"/>
        <v>45257.142857142855</v>
      </c>
      <c r="BI44" s="94">
        <f>SUM(BF44:BH44)</f>
        <v>71657.142857142855</v>
      </c>
    </row>
    <row r="45" spans="2:66" ht="25.5" customHeight="1">
      <c r="B45" s="148" t="s">
        <v>29</v>
      </c>
      <c r="C45" s="182" t="s">
        <v>162</v>
      </c>
      <c r="D45" s="182" t="s">
        <v>163</v>
      </c>
      <c r="E45" s="182" t="s">
        <v>164</v>
      </c>
      <c r="F45" s="183" t="s">
        <v>23</v>
      </c>
      <c r="J45" s="308" t="s">
        <v>269</v>
      </c>
      <c r="K45" s="454">
        <f>INDEX('EV Models '!$B$57:$M$64,MATCH($K$39,'EV Models '!$B$57:$B$64,0),7)</f>
        <v>345</v>
      </c>
      <c r="L45" s="454"/>
      <c r="N45" s="308" t="s">
        <v>269</v>
      </c>
      <c r="O45" s="454">
        <f>INDEX('EV Models '!$B$57:$M$64,MATCH($O$39,'EV Models '!$B$57:$B$64,0),7)</f>
        <v>600</v>
      </c>
      <c r="P45" s="454"/>
      <c r="R45" s="308" t="s">
        <v>269</v>
      </c>
      <c r="S45" s="454">
        <f>INDEX('EV Models '!$B$57:$M$64,MATCH($S$39,'EV Models '!$B$57:$B$64,0),7)</f>
        <v>400</v>
      </c>
      <c r="T45" s="454"/>
      <c r="AJ45" s="216"/>
      <c r="AK45" s="398" t="s">
        <v>182</v>
      </c>
      <c r="AL45" s="399">
        <v>2223000</v>
      </c>
      <c r="AM45" s="398">
        <f>35000</f>
        <v>35000</v>
      </c>
      <c r="AN45" s="402">
        <f t="shared" si="36"/>
        <v>5544</v>
      </c>
      <c r="AO45" s="400">
        <f t="shared" si="31"/>
        <v>2263544</v>
      </c>
      <c r="AP45" s="433" t="e">
        <f t="shared" si="33"/>
        <v>#VALUE!</v>
      </c>
      <c r="AQ45" s="421" t="s">
        <v>172</v>
      </c>
      <c r="AR45" s="392" t="e">
        <v>#VALUE!</v>
      </c>
      <c r="AS45" s="392" t="e">
        <v>#VALUE!</v>
      </c>
      <c r="AT45" s="430" t="e">
        <f t="shared" ref="AT45:AU47" si="42">ROUNDUP(AR45,0)</f>
        <v>#VALUE!</v>
      </c>
      <c r="AU45" s="430" t="e">
        <f t="shared" si="42"/>
        <v>#VALUE!</v>
      </c>
      <c r="AW45" s="14" t="s">
        <v>82</v>
      </c>
      <c r="AX45" s="76">
        <f>IFERROR((C48/AX13)*AR6,0)</f>
        <v>20</v>
      </c>
      <c r="AY45" s="77">
        <f>IFERROR((D48/AY13)*AS6,0)</f>
        <v>80</v>
      </c>
      <c r="AZ45" s="78">
        <f>IFERROR((E48/AZ13)*AT6,0)</f>
        <v>0</v>
      </c>
      <c r="BA45" s="136">
        <f>SUM(AX45:AZ45)</f>
        <v>100</v>
      </c>
      <c r="BB45" s="76">
        <f t="shared" si="40"/>
        <v>440</v>
      </c>
      <c r="BC45" s="77">
        <f t="shared" si="40"/>
        <v>1760</v>
      </c>
      <c r="BD45" s="78">
        <f t="shared" si="40"/>
        <v>0</v>
      </c>
      <c r="BE45" s="92">
        <f>SUM(BB45:BD45)</f>
        <v>2200</v>
      </c>
      <c r="BF45" s="95">
        <f>BB45*12</f>
        <v>5280</v>
      </c>
      <c r="BG45" s="95">
        <f t="shared" si="41"/>
        <v>21120</v>
      </c>
      <c r="BH45" s="95">
        <f t="shared" si="41"/>
        <v>0</v>
      </c>
      <c r="BI45" s="94">
        <f>SUM(BF45:BH45)</f>
        <v>26400</v>
      </c>
    </row>
    <row r="46" spans="2:66" ht="30" customHeight="1">
      <c r="B46" s="149" t="s">
        <v>30</v>
      </c>
      <c r="C46" s="277">
        <f>SUM(BK36:BK38)</f>
        <v>36</v>
      </c>
      <c r="D46" s="277">
        <f t="shared" ref="D46:E46" si="43">SUM(BL36:BL38)</f>
        <v>36</v>
      </c>
      <c r="E46" s="277">
        <f t="shared" si="43"/>
        <v>84</v>
      </c>
      <c r="F46" s="345">
        <f>SUM(C46:E46)</f>
        <v>156</v>
      </c>
      <c r="J46" s="308" t="s">
        <v>281</v>
      </c>
      <c r="K46" s="455">
        <f>INDEX('EV Models '!$B$57:$M$64,MATCH($K$39,'EV Models '!$B$57:$B$64,0),8)</f>
        <v>757425</v>
      </c>
      <c r="L46" s="455"/>
      <c r="M46" s="442"/>
      <c r="N46" s="324" t="s">
        <v>281</v>
      </c>
      <c r="O46" s="455">
        <f>INDEX('EV Models '!$B$57:$M$64,MATCH($O$39,'EV Models '!$B$57:$B$64,0),8)</f>
        <v>2088000</v>
      </c>
      <c r="P46" s="455"/>
      <c r="Q46" s="442"/>
      <c r="R46" s="324" t="s">
        <v>281</v>
      </c>
      <c r="S46" s="455">
        <f>INDEX('EV Models '!$B$57:$M$64,MATCH($S$39,'EV Models '!$B$57:$B$64,0),8)</f>
        <v>3500000</v>
      </c>
      <c r="T46" s="455"/>
      <c r="AJ46" s="216"/>
      <c r="AK46" s="398" t="s">
        <v>183</v>
      </c>
      <c r="AL46" s="399">
        <v>3500000</v>
      </c>
      <c r="AM46" s="398">
        <f>35000</f>
        <v>35000</v>
      </c>
      <c r="AN46" s="402">
        <f t="shared" si="36"/>
        <v>5544</v>
      </c>
      <c r="AO46" s="400">
        <f t="shared" si="31"/>
        <v>3540544</v>
      </c>
      <c r="AP46" s="433" t="e">
        <f t="shared" si="33"/>
        <v>#VALUE!</v>
      </c>
      <c r="AQ46" s="421" t="s">
        <v>171</v>
      </c>
      <c r="AR46" s="392" t="e">
        <v>#VALUE!</v>
      </c>
      <c r="AS46" s="392" t="e">
        <v>#VALUE!</v>
      </c>
      <c r="AT46" s="430" t="e">
        <f t="shared" si="42"/>
        <v>#VALUE!</v>
      </c>
      <c r="AU46" s="430" t="e">
        <f t="shared" si="42"/>
        <v>#VALUE!</v>
      </c>
      <c r="AW46" s="14" t="s">
        <v>86</v>
      </c>
      <c r="AX46" s="76">
        <f>IFERROR((C49/AX14)*AR6,0)</f>
        <v>20</v>
      </c>
      <c r="AY46" s="77">
        <f>IFERROR((D49/AY14)*AS6,0)</f>
        <v>0</v>
      </c>
      <c r="AZ46" s="78">
        <f>IFERROR((E49/AZ14)*AT6,0)</f>
        <v>0</v>
      </c>
      <c r="BA46" s="136">
        <f>SUM(AX46:AZ46)</f>
        <v>20</v>
      </c>
      <c r="BB46" s="76">
        <f t="shared" si="40"/>
        <v>440</v>
      </c>
      <c r="BC46" s="77">
        <f t="shared" si="40"/>
        <v>0</v>
      </c>
      <c r="BD46" s="78">
        <f t="shared" si="40"/>
        <v>0</v>
      </c>
      <c r="BE46" s="92">
        <f>SUM(BB46:BD46)</f>
        <v>440</v>
      </c>
      <c r="BF46" s="95">
        <f>BB46*12</f>
        <v>5280</v>
      </c>
      <c r="BG46" s="95">
        <f t="shared" si="41"/>
        <v>0</v>
      </c>
      <c r="BH46" s="95">
        <f t="shared" si="41"/>
        <v>0</v>
      </c>
      <c r="BI46" s="94">
        <f>SUM(BF46:BH46)</f>
        <v>5280</v>
      </c>
    </row>
    <row r="47" spans="2:66" ht="24.75" customHeight="1">
      <c r="B47" s="149" t="s">
        <v>31</v>
      </c>
      <c r="C47" s="277">
        <v>6</v>
      </c>
      <c r="D47" s="277">
        <v>12</v>
      </c>
      <c r="E47" s="277">
        <v>24</v>
      </c>
      <c r="F47" s="345">
        <f>SUM(C47:E47)</f>
        <v>42</v>
      </c>
      <c r="J47" s="308" t="s">
        <v>317</v>
      </c>
      <c r="K47" s="454" t="str">
        <f>INDEX('EV Models '!$B$57:$M$64,MATCH($K$39,'EV Models '!$B$57:$B$64,0),9)</f>
        <v xml:space="preserve">8 years/ 1.6 lakh kms </v>
      </c>
      <c r="L47" s="454"/>
      <c r="N47" s="308" t="s">
        <v>317</v>
      </c>
      <c r="O47" s="454" t="str">
        <f>INDEX('EV Models '!$B$57:$M$64,MATCH($O$39,'EV Models '!$B$57:$B$64,0),9)</f>
        <v>3 years/ 36,000 kms</v>
      </c>
      <c r="P47" s="454"/>
      <c r="R47" s="308" t="s">
        <v>317</v>
      </c>
      <c r="S47" s="454" t="str">
        <f>INDEX('EV Models '!$B$57:$M$64,MATCH($S$39,'EV Models '!$B$57:$B$64,0),9)</f>
        <v>3 years/ 60,000 kms</v>
      </c>
      <c r="T47" s="454"/>
      <c r="AJ47" s="216"/>
      <c r="AK47" s="398" t="s">
        <v>469</v>
      </c>
      <c r="AL47" s="399">
        <v>1600000</v>
      </c>
      <c r="AM47" s="398">
        <f>35000</f>
        <v>35000</v>
      </c>
      <c r="AN47" s="402">
        <f t="shared" si="36"/>
        <v>5544</v>
      </c>
      <c r="AO47" s="400">
        <f t="shared" si="31"/>
        <v>1640544</v>
      </c>
      <c r="AP47" s="433" t="e">
        <f t="shared" si="33"/>
        <v>#VALUE!</v>
      </c>
      <c r="AQ47" s="421" t="s">
        <v>192</v>
      </c>
      <c r="AR47" s="392" t="e">
        <v>#VALUE!</v>
      </c>
      <c r="AS47" s="392" t="e">
        <v>#VALUE!</v>
      </c>
      <c r="AT47" s="430" t="e">
        <f t="shared" si="42"/>
        <v>#VALUE!</v>
      </c>
      <c r="AU47" s="430" t="e">
        <f t="shared" si="42"/>
        <v>#VALUE!</v>
      </c>
      <c r="AW47" s="81" t="s">
        <v>90</v>
      </c>
      <c r="AX47" s="82">
        <f>IFERROR((C46/AX15)*AR6,0)</f>
        <v>20</v>
      </c>
      <c r="AY47" s="83">
        <f>IFERROR((D46/AY15)*AS6,0)</f>
        <v>80</v>
      </c>
      <c r="AZ47" s="84">
        <f>IFERROR((E46/AZ15)*AT6,0)</f>
        <v>171.42857142857142</v>
      </c>
      <c r="BA47" s="136">
        <f>SUM(AX47:AZ47)</f>
        <v>271.42857142857144</v>
      </c>
      <c r="BB47" s="82">
        <f t="shared" si="40"/>
        <v>440</v>
      </c>
      <c r="BC47" s="83">
        <f t="shared" si="40"/>
        <v>1760</v>
      </c>
      <c r="BD47" s="84">
        <f t="shared" si="40"/>
        <v>3771.4285714285711</v>
      </c>
      <c r="BE47" s="92">
        <f>SUM(BB47:BD47)</f>
        <v>5971.4285714285706</v>
      </c>
      <c r="BF47" s="83">
        <f>BB47*12</f>
        <v>5280</v>
      </c>
      <c r="BG47" s="83">
        <f t="shared" si="41"/>
        <v>21120</v>
      </c>
      <c r="BH47" s="83">
        <f t="shared" si="41"/>
        <v>45257.142857142855</v>
      </c>
      <c r="BI47" s="94">
        <f>SUM(BF47:BH47)</f>
        <v>71657.142857142855</v>
      </c>
    </row>
    <row r="48" spans="2:66" ht="27.75" customHeight="1">
      <c r="B48" s="149" t="s">
        <v>32</v>
      </c>
      <c r="C48" s="344">
        <v>24</v>
      </c>
      <c r="D48" s="344">
        <v>36</v>
      </c>
      <c r="E48" s="344">
        <v>0</v>
      </c>
      <c r="F48" s="345">
        <f>SUM(C48:E48)</f>
        <v>60</v>
      </c>
      <c r="J48" s="308" t="s">
        <v>326</v>
      </c>
      <c r="K48" s="454" t="str">
        <f>INDEX('EV Models '!$B$57:$M$64,MATCH($K$39,'EV Models '!$B$57:$B$64,0),10)</f>
        <v>NA</v>
      </c>
      <c r="L48" s="454"/>
      <c r="N48" s="308" t="s">
        <v>326</v>
      </c>
      <c r="O48" s="454" t="str">
        <f>INDEX('EV Models '!$B$57:$M$64,MATCH($O$39,'EV Models '!$B$57:$B$64,0),10)</f>
        <v xml:space="preserve">2 years / 40,000 kms </v>
      </c>
      <c r="P48" s="454"/>
      <c r="R48" s="308" t="s">
        <v>326</v>
      </c>
      <c r="S48" s="454" t="str">
        <f>INDEX('EV Models '!$B$57:$M$64,MATCH($S$39,'EV Models '!$B$57:$B$64,0),10)</f>
        <v>3 years/ 60,000 kms</v>
      </c>
      <c r="T48" s="454"/>
      <c r="AJ48" s="248" t="s">
        <v>173</v>
      </c>
      <c r="AK48" s="398" t="s">
        <v>495</v>
      </c>
      <c r="AL48" s="399" t="e">
        <f t="shared" ref="AL48:AL54" si="44">(32425/$AL$40)*AL41*$C$26</f>
        <v>#VALUE!</v>
      </c>
      <c r="AM48" s="398" t="e">
        <f t="shared" ref="AM48:AN54" si="45">(AM41/12)*$C$26</f>
        <v>#VALUE!</v>
      </c>
      <c r="AN48" s="402" t="e">
        <f t="shared" si="45"/>
        <v>#VALUE!</v>
      </c>
      <c r="AO48" s="400" t="e">
        <f t="shared" ref="AO48:AO54" si="46">SUM(AL48:AN48)</f>
        <v>#VALUE!</v>
      </c>
      <c r="AP48" s="433" t="e">
        <f t="shared" ref="AP48:AP54" si="47">AO48/$AO$40</f>
        <v>#VALUE!</v>
      </c>
      <c r="AQ48" s="416" t="s">
        <v>558</v>
      </c>
      <c r="AR48" s="392" t="e">
        <v>#VALUE!</v>
      </c>
      <c r="AS48" s="392" t="e">
        <f>ROUNDUP(AR48,0)</f>
        <v>#VALUE!</v>
      </c>
      <c r="AT48" s="515" t="s">
        <v>568</v>
      </c>
      <c r="AU48" s="21"/>
    </row>
    <row r="49" spans="2:61" ht="29.25" customHeight="1">
      <c r="B49" s="149" t="s">
        <v>33</v>
      </c>
      <c r="C49" s="344">
        <v>12.863387978142093</v>
      </c>
      <c r="D49" s="344">
        <v>0</v>
      </c>
      <c r="E49" s="344">
        <v>0</v>
      </c>
      <c r="F49" s="345">
        <f>SUM(C49:E49)</f>
        <v>12.863387978142093</v>
      </c>
      <c r="J49" s="308" t="s">
        <v>331</v>
      </c>
      <c r="K49" s="454" t="str">
        <f>INDEX('EV Models '!$B$57:$M$64,MATCH($K$39,'EV Models '!$B$57:$B$64,0),11)</f>
        <v>NA</v>
      </c>
      <c r="L49" s="454"/>
      <c r="N49" s="308" t="s">
        <v>331</v>
      </c>
      <c r="O49" s="454" t="str">
        <f>INDEX('EV Models '!$B$57:$M$64,MATCH($O$39,'EV Models '!$B$57:$B$64,0),11)</f>
        <v>Rs 1.15/km</v>
      </c>
      <c r="P49" s="454"/>
      <c r="R49" s="308" t="s">
        <v>331</v>
      </c>
      <c r="S49" s="454" t="str">
        <f>INDEX('EV Models '!$B$57:$M$64,MATCH($S$39,'EV Models '!$B$57:$B$64,0),11)</f>
        <v xml:space="preserve">Rs. 0.70 / km </v>
      </c>
      <c r="T49" s="454"/>
      <c r="AK49" s="398" t="s">
        <v>494</v>
      </c>
      <c r="AL49" s="399" t="e">
        <f t="shared" si="44"/>
        <v>#VALUE!</v>
      </c>
      <c r="AM49" s="398" t="e">
        <f t="shared" si="45"/>
        <v>#VALUE!</v>
      </c>
      <c r="AN49" s="402" t="e">
        <f t="shared" si="45"/>
        <v>#VALUE!</v>
      </c>
      <c r="AO49" s="400" t="e">
        <f t="shared" si="46"/>
        <v>#VALUE!</v>
      </c>
      <c r="AP49" s="433" t="e">
        <f t="shared" si="47"/>
        <v>#VALUE!</v>
      </c>
      <c r="AQ49" s="416" t="s">
        <v>559</v>
      </c>
      <c r="AR49" s="392" t="e">
        <v>#VALUE!</v>
      </c>
      <c r="AS49" s="392" t="e">
        <f t="shared" ref="AS49:AS50" si="48">ROUNDUP(AR49,0)</f>
        <v>#VALUE!</v>
      </c>
      <c r="AT49" s="515"/>
      <c r="AU49" s="21"/>
      <c r="AW49" s="480" t="s">
        <v>126</v>
      </c>
      <c r="AX49" s="481"/>
      <c r="AY49" s="481"/>
      <c r="AZ49" s="481"/>
      <c r="BA49" s="481"/>
      <c r="BB49" s="481"/>
      <c r="BC49" s="481"/>
      <c r="BD49" s="481"/>
      <c r="BE49" s="481"/>
      <c r="BF49" s="481"/>
      <c r="BG49" s="481"/>
      <c r="BH49" s="481"/>
      <c r="BI49" s="482"/>
    </row>
    <row r="50" spans="2:61" ht="30.75" customHeight="1">
      <c r="B50" s="150" t="s">
        <v>34</v>
      </c>
      <c r="C50" s="168">
        <f>SUM(C46:C49)</f>
        <v>78.8633879781421</v>
      </c>
      <c r="D50" s="168">
        <f t="shared" ref="D50:F50" si="49">SUM(D46:D49)</f>
        <v>84</v>
      </c>
      <c r="E50" s="168">
        <f t="shared" si="49"/>
        <v>108</v>
      </c>
      <c r="F50" s="168">
        <f t="shared" si="49"/>
        <v>270.8633879781421</v>
      </c>
      <c r="I50" s="4"/>
      <c r="J50" s="308" t="s">
        <v>484</v>
      </c>
      <c r="K50" s="454">
        <f>INDEX('EV Models '!$B$57:$M$64,MATCH($K$39,'EV Models '!$B$57:$B$64,0),12)</f>
        <v>4</v>
      </c>
      <c r="L50" s="454"/>
      <c r="N50" s="308" t="s">
        <v>484</v>
      </c>
      <c r="O50" s="454">
        <f>INDEX('EV Models '!$B$57:$M$64,MATCH($O$39,'EV Models '!$B$57:$B$64,0),12)</f>
        <v>4</v>
      </c>
      <c r="P50" s="454"/>
      <c r="R50" s="308" t="s">
        <v>484</v>
      </c>
      <c r="S50" s="454">
        <f>INDEX('EV Models '!$B$57:$M$64,MATCH($S$39,'EV Models '!$B$57:$B$64,0),12)</f>
        <v>5</v>
      </c>
      <c r="T50" s="454"/>
      <c r="AK50" s="398" t="s">
        <v>467</v>
      </c>
      <c r="AL50" s="399" t="e">
        <f t="shared" si="44"/>
        <v>#VALUE!</v>
      </c>
      <c r="AM50" s="398" t="e">
        <f t="shared" si="45"/>
        <v>#VALUE!</v>
      </c>
      <c r="AN50" s="402" t="e">
        <f t="shared" si="45"/>
        <v>#VALUE!</v>
      </c>
      <c r="AO50" s="400" t="e">
        <f t="shared" si="46"/>
        <v>#VALUE!</v>
      </c>
      <c r="AP50" s="433" t="e">
        <f t="shared" si="47"/>
        <v>#VALUE!</v>
      </c>
      <c r="AQ50" s="416" t="s">
        <v>560</v>
      </c>
      <c r="AR50" s="392" t="e">
        <v>#VALUE!</v>
      </c>
      <c r="AS50" s="392" t="e">
        <f t="shared" si="48"/>
        <v>#VALUE!</v>
      </c>
      <c r="AT50" s="515"/>
      <c r="AU50" s="21"/>
      <c r="AW50" s="17" t="s">
        <v>101</v>
      </c>
      <c r="AX50" s="480" t="s">
        <v>109</v>
      </c>
      <c r="AY50" s="481"/>
      <c r="AZ50" s="481"/>
      <c r="BA50" s="482"/>
      <c r="BB50" s="480" t="s">
        <v>110</v>
      </c>
      <c r="BC50" s="481"/>
      <c r="BD50" s="481"/>
      <c r="BE50" s="482"/>
      <c r="BF50" s="493" t="s">
        <v>111</v>
      </c>
      <c r="BG50" s="494"/>
      <c r="BH50" s="494"/>
      <c r="BI50" s="495"/>
    </row>
    <row r="51" spans="2:61" ht="37.5" customHeight="1">
      <c r="B51" s="461" t="s">
        <v>176</v>
      </c>
      <c r="C51" s="377" t="s">
        <v>570</v>
      </c>
      <c r="D51" s="457">
        <f>IFERROR(SUM(D53:F53),0)</f>
        <v>0</v>
      </c>
      <c r="E51" s="458"/>
      <c r="F51" s="459"/>
      <c r="G51" s="231"/>
      <c r="I51" s="4"/>
      <c r="AK51" s="398" t="s">
        <v>468</v>
      </c>
      <c r="AL51" s="399" t="e">
        <f t="shared" si="44"/>
        <v>#VALUE!</v>
      </c>
      <c r="AM51" s="398" t="e">
        <f t="shared" si="45"/>
        <v>#VALUE!</v>
      </c>
      <c r="AN51" s="402" t="e">
        <f t="shared" si="45"/>
        <v>#VALUE!</v>
      </c>
      <c r="AO51" s="400" t="e">
        <f t="shared" si="46"/>
        <v>#VALUE!</v>
      </c>
      <c r="AP51" s="433" t="e">
        <f t="shared" si="47"/>
        <v>#VALUE!</v>
      </c>
      <c r="AQ51" s="420"/>
      <c r="AR51" s="429"/>
      <c r="AS51" s="429"/>
      <c r="AT51" s="21"/>
      <c r="AU51" s="21"/>
      <c r="AW51" s="195"/>
      <c r="AX51" s="47"/>
      <c r="AY51" s="47"/>
      <c r="AZ51" s="47"/>
      <c r="BA51" s="194"/>
      <c r="BB51" s="20"/>
      <c r="BC51" s="47"/>
      <c r="BD51" s="47"/>
      <c r="BE51" s="194"/>
      <c r="BF51" s="196"/>
      <c r="BG51" s="197"/>
      <c r="BH51" s="197"/>
      <c r="BI51" s="198"/>
    </row>
    <row r="52" spans="2:61" ht="32.25" customHeight="1">
      <c r="B52" s="461"/>
      <c r="C52" s="268" t="s">
        <v>487</v>
      </c>
      <c r="D52" s="256" t="s">
        <v>172</v>
      </c>
      <c r="E52" s="256" t="s">
        <v>171</v>
      </c>
      <c r="F52" s="256" t="s">
        <v>192</v>
      </c>
      <c r="G52" s="4"/>
      <c r="H52" s="1"/>
      <c r="I52" s="1"/>
      <c r="J52" s="451" t="s">
        <v>515</v>
      </c>
      <c r="K52" s="451"/>
      <c r="L52" s="451"/>
      <c r="AK52" s="398" t="s">
        <v>182</v>
      </c>
      <c r="AL52" s="399" t="e">
        <f t="shared" si="44"/>
        <v>#VALUE!</v>
      </c>
      <c r="AM52" s="398" t="e">
        <f t="shared" si="45"/>
        <v>#VALUE!</v>
      </c>
      <c r="AN52" s="402" t="e">
        <f t="shared" si="45"/>
        <v>#VALUE!</v>
      </c>
      <c r="AO52" s="400" t="e">
        <f t="shared" si="46"/>
        <v>#VALUE!</v>
      </c>
      <c r="AP52" s="433" t="e">
        <f t="shared" si="47"/>
        <v>#VALUE!</v>
      </c>
      <c r="AQ52" s="420"/>
      <c r="AR52" s="422"/>
      <c r="AS52" s="422"/>
      <c r="AT52" s="423"/>
      <c r="AW52" s="17"/>
      <c r="AX52" s="34" t="s">
        <v>20</v>
      </c>
      <c r="AY52" s="19" t="s">
        <v>102</v>
      </c>
      <c r="AZ52" s="16" t="s">
        <v>103</v>
      </c>
      <c r="BA52" s="17" t="s">
        <v>43</v>
      </c>
      <c r="BB52" s="36" t="s">
        <v>20</v>
      </c>
      <c r="BC52" s="19" t="s">
        <v>102</v>
      </c>
      <c r="BD52" s="16" t="s">
        <v>103</v>
      </c>
      <c r="BE52" s="17" t="s">
        <v>43</v>
      </c>
      <c r="BF52" s="35" t="s">
        <v>20</v>
      </c>
      <c r="BG52" s="18" t="s">
        <v>102</v>
      </c>
      <c r="BH52" s="18" t="s">
        <v>103</v>
      </c>
      <c r="BI52" s="17" t="s">
        <v>43</v>
      </c>
    </row>
    <row r="53" spans="2:61" ht="33.75" customHeight="1">
      <c r="B53" s="461"/>
      <c r="C53" s="267" t="s">
        <v>562</v>
      </c>
      <c r="D53" s="264" t="e">
        <f>IF(AT45&lt;0,0,AT45)</f>
        <v>#VALUE!</v>
      </c>
      <c r="E53" s="264" t="e">
        <f>IF(AT46&lt;0,0,AT46)</f>
        <v>#VALUE!</v>
      </c>
      <c r="F53" s="264" t="e">
        <f>IF(AT47&lt;0,0,AT47)</f>
        <v>#VALUE!</v>
      </c>
      <c r="G53" s="232"/>
      <c r="H53" s="5"/>
      <c r="I53" s="2"/>
      <c r="J53" s="308" t="s">
        <v>517</v>
      </c>
      <c r="K53" s="452" t="str">
        <f>'Battery Charging Vendors - AC'!AH7</f>
        <v/>
      </c>
      <c r="L53" s="453"/>
      <c r="AK53" s="398" t="s">
        <v>183</v>
      </c>
      <c r="AL53" s="399" t="e">
        <f t="shared" si="44"/>
        <v>#VALUE!</v>
      </c>
      <c r="AM53" s="398" t="e">
        <f t="shared" si="45"/>
        <v>#VALUE!</v>
      </c>
      <c r="AN53" s="402" t="e">
        <f t="shared" si="45"/>
        <v>#VALUE!</v>
      </c>
      <c r="AO53" s="400" t="e">
        <f t="shared" si="46"/>
        <v>#VALUE!</v>
      </c>
      <c r="AP53" s="433" t="e">
        <f t="shared" si="47"/>
        <v>#VALUE!</v>
      </c>
      <c r="AQ53" s="420"/>
      <c r="AR53" s="417"/>
      <c r="AS53" s="417"/>
      <c r="AT53" s="415"/>
      <c r="AW53" s="16" t="s">
        <v>78</v>
      </c>
      <c r="AX53" s="71">
        <f>IFERROR(((C46+C47)/AX19)*AR6,0)</f>
        <v>20</v>
      </c>
      <c r="AY53" s="72">
        <f>IFERROR(((D46+D47)/AY19)*AS6,0)</f>
        <v>80</v>
      </c>
      <c r="AZ53" s="73">
        <f>IFERROR(((E46+E47)/AZ19)*AT6,0)</f>
        <v>171.42857142857142</v>
      </c>
      <c r="BA53" s="136">
        <f>SUM(AX53:AZ53)</f>
        <v>271.42857142857144</v>
      </c>
      <c r="BB53" s="71">
        <f t="shared" ref="BB53:BD55" si="50">AX53*$C$4</f>
        <v>440</v>
      </c>
      <c r="BC53" s="72">
        <f t="shared" si="50"/>
        <v>1760</v>
      </c>
      <c r="BD53" s="73">
        <f t="shared" si="50"/>
        <v>3771.4285714285711</v>
      </c>
      <c r="BE53" s="93">
        <f>SUM(BB53:BD53)</f>
        <v>5971.4285714285706</v>
      </c>
      <c r="BF53" s="72">
        <f>BB53*12</f>
        <v>5280</v>
      </c>
      <c r="BG53" s="72">
        <f t="shared" ref="BG53:BG55" si="51">BC53*12</f>
        <v>21120</v>
      </c>
      <c r="BH53" s="72">
        <f t="shared" ref="BH53:BH55" si="52">BD53*12</f>
        <v>45257.142857142855</v>
      </c>
      <c r="BI53" s="94">
        <f>SUM(BF53:BH53)</f>
        <v>71657.142857142855</v>
      </c>
    </row>
    <row r="54" spans="2:61" ht="39" customHeight="1">
      <c r="B54" s="461"/>
      <c r="C54" s="377" t="s">
        <v>571</v>
      </c>
      <c r="D54" s="457">
        <f>IFERROR(SUM(D56:F56),0)</f>
        <v>0</v>
      </c>
      <c r="E54" s="458"/>
      <c r="F54" s="459"/>
      <c r="G54" s="4"/>
      <c r="H54" s="3"/>
      <c r="I54" s="3"/>
      <c r="J54" s="308" t="s">
        <v>521</v>
      </c>
      <c r="K54" s="452" t="str">
        <f>'Battery Charging Vendors - AC'!AK7</f>
        <v/>
      </c>
      <c r="L54" s="453"/>
      <c r="N54" s="443"/>
      <c r="O54" s="443"/>
      <c r="P54" s="443"/>
      <c r="AK54" s="398" t="s">
        <v>469</v>
      </c>
      <c r="AL54" s="399" t="e">
        <f t="shared" si="44"/>
        <v>#VALUE!</v>
      </c>
      <c r="AM54" s="398" t="e">
        <f t="shared" si="45"/>
        <v>#VALUE!</v>
      </c>
      <c r="AN54" s="402" t="e">
        <f t="shared" si="45"/>
        <v>#VALUE!</v>
      </c>
      <c r="AO54" s="400" t="e">
        <f t="shared" si="46"/>
        <v>#VALUE!</v>
      </c>
      <c r="AP54" s="433" t="e">
        <f t="shared" si="47"/>
        <v>#VALUE!</v>
      </c>
      <c r="AQ54" s="420"/>
      <c r="AR54" s="424"/>
      <c r="AS54" s="417"/>
      <c r="AT54" s="415"/>
      <c r="AW54" s="14" t="s">
        <v>82</v>
      </c>
      <c r="AX54" s="76">
        <f>IFERROR((C48/AX20)*AR6,0)</f>
        <v>20</v>
      </c>
      <c r="AY54" s="77">
        <f>IFERROR((D48/AY20)*AS6,0)</f>
        <v>80</v>
      </c>
      <c r="AZ54" s="78">
        <f>IFERROR((E48/AZ20)*AT6,0)</f>
        <v>0</v>
      </c>
      <c r="BA54" s="136">
        <f>SUM(AX54:AZ54)</f>
        <v>100</v>
      </c>
      <c r="BB54" s="76">
        <f t="shared" si="50"/>
        <v>440</v>
      </c>
      <c r="BC54" s="77">
        <f t="shared" si="50"/>
        <v>1760</v>
      </c>
      <c r="BD54" s="78">
        <f t="shared" si="50"/>
        <v>0</v>
      </c>
      <c r="BE54" s="93">
        <f>SUM(BB54:BD54)</f>
        <v>2200</v>
      </c>
      <c r="BF54" s="77">
        <f>BB54*12</f>
        <v>5280</v>
      </c>
      <c r="BG54" s="77">
        <f t="shared" si="51"/>
        <v>21120</v>
      </c>
      <c r="BH54" s="77">
        <f t="shared" si="52"/>
        <v>0</v>
      </c>
      <c r="BI54" s="94">
        <f>SUM(BF54:BH54)</f>
        <v>26400</v>
      </c>
    </row>
    <row r="55" spans="2:61" ht="33" customHeight="1">
      <c r="B55" s="461"/>
      <c r="C55" s="268" t="s">
        <v>487</v>
      </c>
      <c r="D55" s="256" t="s">
        <v>172</v>
      </c>
      <c r="E55" s="256" t="s">
        <v>171</v>
      </c>
      <c r="F55" s="256" t="s">
        <v>192</v>
      </c>
      <c r="G55" s="233"/>
      <c r="H55" s="1"/>
      <c r="I55" s="1"/>
      <c r="J55" s="308" t="s">
        <v>553</v>
      </c>
      <c r="K55" s="452" t="str">
        <f>'Battery Charging Vendors - AC'!AN7</f>
        <v/>
      </c>
      <c r="L55" s="453"/>
      <c r="N55" s="311"/>
      <c r="O55" s="7"/>
      <c r="P55" s="7"/>
      <c r="AK55" s="394"/>
      <c r="AL55" s="404"/>
      <c r="AM55" s="394"/>
      <c r="AN55" s="394"/>
      <c r="AO55" s="394"/>
      <c r="AP55" s="394"/>
      <c r="AR55" s="90"/>
      <c r="AS55" s="90"/>
      <c r="AW55" s="81" t="s">
        <v>86</v>
      </c>
      <c r="AX55" s="82">
        <f>IFERROR((C49/AX21)*AR6,0)</f>
        <v>20</v>
      </c>
      <c r="AY55" s="83">
        <f>IFERROR((D49/AY21)*AS6,0)</f>
        <v>0</v>
      </c>
      <c r="AZ55" s="84">
        <f>IFERROR((E49/AZ21)*AT6,0)</f>
        <v>0</v>
      </c>
      <c r="BA55" s="136">
        <f>SUM(AX55:AZ55)</f>
        <v>20</v>
      </c>
      <c r="BB55" s="82">
        <f t="shared" si="50"/>
        <v>440</v>
      </c>
      <c r="BC55" s="83">
        <f t="shared" si="50"/>
        <v>0</v>
      </c>
      <c r="BD55" s="84">
        <f t="shared" si="50"/>
        <v>0</v>
      </c>
      <c r="BE55" s="93">
        <f>SUM(BB55:BD55)</f>
        <v>440</v>
      </c>
      <c r="BF55" s="83">
        <f>BB55*12</f>
        <v>5280</v>
      </c>
      <c r="BG55" s="83">
        <f t="shared" si="51"/>
        <v>0</v>
      </c>
      <c r="BH55" s="83">
        <f t="shared" si="52"/>
        <v>0</v>
      </c>
      <c r="BI55" s="94">
        <f>SUM(BF55:BH55)</f>
        <v>5280</v>
      </c>
    </row>
    <row r="56" spans="2:61" ht="32.25" customHeight="1">
      <c r="B56" s="461"/>
      <c r="C56" s="267" t="s">
        <v>563</v>
      </c>
      <c r="D56" s="264" t="e">
        <f>IF(AU45&lt;0,0,AU45)</f>
        <v>#VALUE!</v>
      </c>
      <c r="E56" s="264" t="e">
        <f>IF(AU46&lt;0,0,AU46)</f>
        <v>#VALUE!</v>
      </c>
      <c r="F56" s="264" t="e">
        <f>IF(AU47&lt;0,0,AU47)</f>
        <v>#VALUE!</v>
      </c>
      <c r="G56" s="5"/>
      <c r="H56" s="5"/>
      <c r="I56" s="2"/>
      <c r="J56" s="308" t="s">
        <v>518</v>
      </c>
      <c r="K56" s="452" t="str">
        <f>'Battery Charging Vendors - AC'!AL7</f>
        <v/>
      </c>
      <c r="L56" s="453"/>
      <c r="N56" s="311"/>
      <c r="O56" s="7"/>
      <c r="P56" s="7"/>
      <c r="AK56" s="398" t="s">
        <v>192</v>
      </c>
      <c r="AL56" s="398" t="s">
        <v>472</v>
      </c>
      <c r="AM56" s="398" t="s">
        <v>172</v>
      </c>
      <c r="AN56" s="395"/>
      <c r="AO56" s="394"/>
      <c r="AP56" s="394"/>
      <c r="AR56" s="90"/>
      <c r="AS56" s="90"/>
      <c r="AW56" s="88"/>
      <c r="AX56" s="77"/>
      <c r="AY56" s="77"/>
      <c r="AZ56" s="77"/>
      <c r="BA56" s="96"/>
      <c r="BB56" s="77"/>
      <c r="BC56" s="77"/>
      <c r="BD56" s="77"/>
      <c r="BE56" s="96"/>
      <c r="BF56" s="77"/>
      <c r="BG56" s="77"/>
      <c r="BH56" s="77"/>
      <c r="BI56" s="97"/>
    </row>
    <row r="57" spans="2:61" ht="32.25" customHeight="1">
      <c r="B57" s="461"/>
      <c r="C57" s="267" t="s">
        <v>489</v>
      </c>
      <c r="D57" s="452" t="e">
        <f>D51*K55+D54*K63</f>
        <v>#VALUE!</v>
      </c>
      <c r="E57" s="460"/>
      <c r="F57" s="453"/>
      <c r="G57" s="3"/>
      <c r="H57" s="3"/>
      <c r="I57" s="3"/>
      <c r="J57" s="308" t="s">
        <v>519</v>
      </c>
      <c r="K57" s="466" t="str">
        <f>'Battery Charging Vendors - AC'!AO7</f>
        <v/>
      </c>
      <c r="L57" s="467"/>
      <c r="N57" s="311"/>
      <c r="O57" s="7"/>
      <c r="P57" s="7"/>
      <c r="AJ57" s="247" t="s">
        <v>174</v>
      </c>
      <c r="AK57" s="398" t="s">
        <v>495</v>
      </c>
      <c r="AL57" s="398" t="s">
        <v>182</v>
      </c>
      <c r="AM57" s="398" t="s">
        <v>467</v>
      </c>
      <c r="AN57" s="395"/>
      <c r="AO57" s="394"/>
      <c r="AP57" s="394"/>
      <c r="AR57" s="275"/>
      <c r="AS57" s="90"/>
      <c r="AW57" s="483" t="s">
        <v>112</v>
      </c>
      <c r="AX57" s="484"/>
      <c r="AY57" s="484"/>
      <c r="AZ57" s="484"/>
      <c r="BA57" s="484"/>
      <c r="BB57" s="484"/>
      <c r="BC57" s="484"/>
      <c r="BD57" s="484"/>
      <c r="BE57" s="484"/>
      <c r="BF57" s="484"/>
      <c r="BG57" s="484"/>
      <c r="BH57" s="484"/>
      <c r="BI57" s="485"/>
    </row>
    <row r="58" spans="2:61" ht="36.75" customHeight="1">
      <c r="B58" s="461"/>
      <c r="C58" s="368" t="s">
        <v>491</v>
      </c>
      <c r="D58" s="538" t="e">
        <f>'Battery Charging Vendors - AC'!AP7*D51+D51*'Battery Charging Vendors - AC'!AO7+D54*'Battery Charging Vendors - DC'!AP8+D54*'Battery Charging Vendors - DC'!AO8</f>
        <v>#VALUE!</v>
      </c>
      <c r="E58" s="539"/>
      <c r="F58" s="540"/>
      <c r="I58" s="4"/>
      <c r="J58" s="308" t="s">
        <v>484</v>
      </c>
      <c r="K58" s="452" t="str">
        <f>'Battery Charging Vendors - AC'!AM7</f>
        <v/>
      </c>
      <c r="L58" s="453"/>
      <c r="M58" s="7"/>
      <c r="N58" s="311"/>
      <c r="O58" s="7"/>
      <c r="P58" s="7"/>
      <c r="AJ58" s="247" t="s">
        <v>477</v>
      </c>
      <c r="AK58" s="234" t="s">
        <v>469</v>
      </c>
      <c r="AL58" s="234" t="s">
        <v>494</v>
      </c>
      <c r="AM58" s="234" t="s">
        <v>467</v>
      </c>
      <c r="AN58" s="90"/>
      <c r="AP58" s="39"/>
      <c r="AQ58" s="39"/>
      <c r="AR58" s="275"/>
      <c r="AS58" s="90"/>
      <c r="AW58" s="17" t="s">
        <v>101</v>
      </c>
      <c r="AX58" s="480" t="s">
        <v>113</v>
      </c>
      <c r="AY58" s="481"/>
      <c r="AZ58" s="481"/>
      <c r="BA58" s="482"/>
      <c r="BB58" s="480" t="s">
        <v>114</v>
      </c>
      <c r="BC58" s="481"/>
      <c r="BD58" s="481"/>
      <c r="BE58" s="482"/>
      <c r="BF58" s="493" t="s">
        <v>115</v>
      </c>
      <c r="BG58" s="494"/>
      <c r="BH58" s="494"/>
      <c r="BI58" s="495"/>
    </row>
    <row r="59" spans="2:61" ht="33" customHeight="1">
      <c r="B59" s="461"/>
      <c r="C59" s="368" t="s">
        <v>490</v>
      </c>
      <c r="D59" s="529" t="e">
        <f>D51*'Battery Charging Vendors - AC'!AQ7+D54*'Battery Charging Vendors - DC'!AQ8</f>
        <v>#VALUE!</v>
      </c>
      <c r="E59" s="530"/>
      <c r="F59" s="531"/>
      <c r="G59" s="257"/>
      <c r="I59" s="4"/>
      <c r="N59" s="311"/>
      <c r="O59" s="465"/>
      <c r="P59" s="465"/>
      <c r="AK59" s="90"/>
      <c r="AL59" s="90"/>
      <c r="AM59" s="90"/>
      <c r="AN59" s="90"/>
      <c r="AW59" s="17"/>
      <c r="AX59" s="34" t="s">
        <v>20</v>
      </c>
      <c r="AY59" s="19" t="s">
        <v>102</v>
      </c>
      <c r="AZ59" s="19" t="s">
        <v>103</v>
      </c>
      <c r="BA59" s="20" t="s">
        <v>43</v>
      </c>
      <c r="BB59" s="36" t="s">
        <v>20</v>
      </c>
      <c r="BC59" s="19" t="s">
        <v>102</v>
      </c>
      <c r="BD59" s="19" t="s">
        <v>103</v>
      </c>
      <c r="BE59" s="13" t="s">
        <v>43</v>
      </c>
      <c r="BF59" s="34" t="s">
        <v>20</v>
      </c>
      <c r="BG59" s="19" t="s">
        <v>102</v>
      </c>
      <c r="BH59" s="19" t="s">
        <v>103</v>
      </c>
      <c r="BI59" s="13" t="s">
        <v>43</v>
      </c>
    </row>
    <row r="60" spans="2:61" ht="32.25" customHeight="1">
      <c r="B60" s="461"/>
      <c r="C60" s="254" t="s">
        <v>462</v>
      </c>
      <c r="D60" s="541" t="e">
        <f>(D58+D59)/12</f>
        <v>#VALUE!</v>
      </c>
      <c r="E60" s="542"/>
      <c r="F60" s="543"/>
      <c r="I60" s="4"/>
      <c r="J60" s="451" t="s">
        <v>516</v>
      </c>
      <c r="K60" s="451"/>
      <c r="L60" s="451"/>
      <c r="M60" s="7"/>
      <c r="N60" s="311"/>
      <c r="O60" s="7"/>
      <c r="P60" s="7"/>
      <c r="AK60" s="239" t="s">
        <v>473</v>
      </c>
      <c r="AL60" s="240" t="s">
        <v>192</v>
      </c>
      <c r="AM60" s="240" t="s">
        <v>171</v>
      </c>
      <c r="AN60" s="241" t="s">
        <v>172</v>
      </c>
      <c r="AR60" s="274"/>
      <c r="AW60" s="16" t="s">
        <v>116</v>
      </c>
      <c r="AX60" s="71">
        <f>(AX25*AX44)</f>
        <v>17.18</v>
      </c>
      <c r="AY60" s="72">
        <f>(AY25*AY44)</f>
        <v>68.72</v>
      </c>
      <c r="AZ60" s="73">
        <f>(AZ25*AZ44)</f>
        <v>343.59999999999997</v>
      </c>
      <c r="BA60" s="137">
        <f>SUM(AX60:AZ60)</f>
        <v>429.5</v>
      </c>
      <c r="BB60" s="71">
        <f t="shared" ref="BB60:BD63" si="53">AX60*$C$4</f>
        <v>377.96</v>
      </c>
      <c r="BC60" s="72">
        <f t="shared" si="53"/>
        <v>1511.84</v>
      </c>
      <c r="BD60" s="73">
        <f t="shared" si="53"/>
        <v>7559.1999999999989</v>
      </c>
      <c r="BE60" s="92">
        <f>SUM(BB60:BD60)</f>
        <v>9448.9999999999982</v>
      </c>
      <c r="BF60" s="71">
        <f>BB60*12</f>
        <v>4535.5199999999995</v>
      </c>
      <c r="BG60" s="72">
        <f t="shared" ref="BG60:BH63" si="54">BC60*12</f>
        <v>18142.079999999998</v>
      </c>
      <c r="BH60" s="72">
        <f t="shared" si="54"/>
        <v>90710.399999999994</v>
      </c>
      <c r="BI60" s="94">
        <f>SUM(BF60:BH60)</f>
        <v>113388</v>
      </c>
    </row>
    <row r="61" spans="2:61" ht="38.25" customHeight="1">
      <c r="B61" s="535" t="s">
        <v>486</v>
      </c>
      <c r="C61" s="377" t="s">
        <v>572</v>
      </c>
      <c r="D61" s="457">
        <f>IFERROR(SUM(D64:F64),0)</f>
        <v>0</v>
      </c>
      <c r="E61" s="544"/>
      <c r="F61" s="545"/>
      <c r="J61" s="308" t="s">
        <v>517</v>
      </c>
      <c r="K61" s="452" t="str">
        <f>'Battery Charging Vendors - DC'!AH8</f>
        <v/>
      </c>
      <c r="L61" s="453"/>
      <c r="M61" s="7"/>
      <c r="N61" s="311"/>
      <c r="O61" s="7"/>
      <c r="P61" s="7"/>
      <c r="AK61" s="242" t="s">
        <v>192</v>
      </c>
      <c r="AL61" s="238" t="s">
        <v>474</v>
      </c>
      <c r="AM61" s="238" t="s">
        <v>475</v>
      </c>
      <c r="AN61" s="243" t="s">
        <v>476</v>
      </c>
      <c r="AR61" s="280"/>
      <c r="AS61" s="90"/>
      <c r="AW61" s="14" t="s">
        <v>105</v>
      </c>
      <c r="AX61" s="76">
        <f t="shared" ref="AX61:AZ63" si="55">AX26*AX45</f>
        <v>116.32</v>
      </c>
      <c r="AY61" s="77">
        <f t="shared" si="55"/>
        <v>348.96000000000004</v>
      </c>
      <c r="AZ61" s="78">
        <f t="shared" si="55"/>
        <v>0</v>
      </c>
      <c r="BA61" s="137">
        <f>SUM(AX61:AZ61)</f>
        <v>465.28000000000003</v>
      </c>
      <c r="BB61" s="76">
        <f t="shared" si="53"/>
        <v>2559.04</v>
      </c>
      <c r="BC61" s="77">
        <f t="shared" si="53"/>
        <v>7677.1200000000008</v>
      </c>
      <c r="BD61" s="78">
        <f t="shared" si="53"/>
        <v>0</v>
      </c>
      <c r="BE61" s="92">
        <f>SUM(BB61:BD61)</f>
        <v>10236.16</v>
      </c>
      <c r="BF61" s="76">
        <f>BB61*12</f>
        <v>30708.48</v>
      </c>
      <c r="BG61" s="77">
        <f t="shared" si="54"/>
        <v>92125.440000000002</v>
      </c>
      <c r="BH61" s="77">
        <f t="shared" si="54"/>
        <v>0</v>
      </c>
      <c r="BI61" s="94">
        <f>SUM(BF61:BH61)</f>
        <v>122833.92</v>
      </c>
    </row>
    <row r="62" spans="2:61" ht="31.5" customHeight="1">
      <c r="B62" s="536"/>
      <c r="C62" s="268" t="s">
        <v>487</v>
      </c>
      <c r="D62" s="256" t="s">
        <v>172</v>
      </c>
      <c r="E62" s="256" t="s">
        <v>171</v>
      </c>
      <c r="F62" s="256" t="s">
        <v>192</v>
      </c>
      <c r="J62" s="308" t="s">
        <v>521</v>
      </c>
      <c r="K62" s="452" t="str">
        <f>'Battery Charging Vendors - DC'!AK8</f>
        <v/>
      </c>
      <c r="L62" s="453"/>
      <c r="M62" s="7"/>
      <c r="N62" s="311"/>
      <c r="O62" s="7"/>
      <c r="P62" s="7"/>
      <c r="AK62" s="242" t="s">
        <v>171</v>
      </c>
      <c r="AL62" s="238" t="s">
        <v>182</v>
      </c>
      <c r="AM62" s="238" t="s">
        <v>181</v>
      </c>
      <c r="AN62" s="243"/>
      <c r="AW62" s="14" t="s">
        <v>106</v>
      </c>
      <c r="AX62" s="76">
        <f t="shared" si="55"/>
        <v>51.890907103825214</v>
      </c>
      <c r="AY62" s="77">
        <f t="shared" si="55"/>
        <v>0</v>
      </c>
      <c r="AZ62" s="78">
        <f t="shared" si="55"/>
        <v>0</v>
      </c>
      <c r="BA62" s="137">
        <f>SUM(AX62:AZ62)</f>
        <v>51.890907103825214</v>
      </c>
      <c r="BB62" s="76">
        <f t="shared" si="53"/>
        <v>1141.5999562841548</v>
      </c>
      <c r="BC62" s="77">
        <f t="shared" si="53"/>
        <v>0</v>
      </c>
      <c r="BD62" s="78">
        <f t="shared" si="53"/>
        <v>0</v>
      </c>
      <c r="BE62" s="92">
        <f>SUM(BB62:BD62)</f>
        <v>1141.5999562841548</v>
      </c>
      <c r="BF62" s="76">
        <f>BB62*12</f>
        <v>13699.199475409858</v>
      </c>
      <c r="BG62" s="77">
        <f t="shared" si="54"/>
        <v>0</v>
      </c>
      <c r="BH62" s="77">
        <f t="shared" si="54"/>
        <v>0</v>
      </c>
      <c r="BI62" s="94">
        <f>SUM(BF62:BH62)</f>
        <v>13699.199475409858</v>
      </c>
    </row>
    <row r="63" spans="2:61" ht="39" customHeight="1">
      <c r="B63" s="536"/>
      <c r="C63" s="267" t="s">
        <v>523</v>
      </c>
      <c r="D63" s="256" t="str">
        <f>K69</f>
        <v>#VALUE!</v>
      </c>
      <c r="E63" s="256" t="str">
        <f>L69</f>
        <v>#VALUE!</v>
      </c>
      <c r="F63" s="256" t="str">
        <f>M69</f>
        <v>#VALUE!</v>
      </c>
      <c r="J63" s="308" t="s">
        <v>553</v>
      </c>
      <c r="K63" s="452" t="str">
        <f>'Battery Charging Vendors - DC'!AN8</f>
        <v/>
      </c>
      <c r="L63" s="453"/>
      <c r="N63" s="311"/>
      <c r="O63" s="7"/>
      <c r="P63" s="7"/>
      <c r="AK63" s="242" t="s">
        <v>172</v>
      </c>
      <c r="AL63" s="238" t="s">
        <v>183</v>
      </c>
      <c r="AM63" s="238"/>
      <c r="AN63" s="243"/>
      <c r="AW63" s="81" t="s">
        <v>107</v>
      </c>
      <c r="AX63" s="82">
        <f t="shared" si="55"/>
        <v>0</v>
      </c>
      <c r="AY63" s="83">
        <f t="shared" si="55"/>
        <v>0</v>
      </c>
      <c r="AZ63" s="84">
        <f t="shared" si="55"/>
        <v>0</v>
      </c>
      <c r="BA63" s="137">
        <f>SUM(AX63:AZ63)</f>
        <v>0</v>
      </c>
      <c r="BB63" s="82">
        <f t="shared" si="53"/>
        <v>0</v>
      </c>
      <c r="BC63" s="83">
        <f t="shared" si="53"/>
        <v>0</v>
      </c>
      <c r="BD63" s="84">
        <f t="shared" si="53"/>
        <v>0</v>
      </c>
      <c r="BE63" s="92">
        <f>SUM(BB63:BD63)</f>
        <v>0</v>
      </c>
      <c r="BF63" s="82">
        <f>BB63*12</f>
        <v>0</v>
      </c>
      <c r="BG63" s="83">
        <f t="shared" si="54"/>
        <v>0</v>
      </c>
      <c r="BH63" s="83">
        <f t="shared" si="54"/>
        <v>0</v>
      </c>
      <c r="BI63" s="94">
        <f>SUM(BF63:BH63)</f>
        <v>0</v>
      </c>
    </row>
    <row r="64" spans="2:61" ht="36" customHeight="1">
      <c r="B64" s="536"/>
      <c r="C64" s="369" t="s">
        <v>488</v>
      </c>
      <c r="D64" s="264" t="e">
        <f>IF(AS48&lt;0,0,AS48)</f>
        <v>#VALUE!</v>
      </c>
      <c r="E64" s="264" t="e">
        <f>IF(AS49&lt;0,0,AS49)</f>
        <v>#VALUE!</v>
      </c>
      <c r="F64" s="264" t="e">
        <f>IF(AS50&lt;0,0,AS50)</f>
        <v>#VALUE!</v>
      </c>
      <c r="J64" s="308" t="s">
        <v>518</v>
      </c>
      <c r="K64" s="452" t="str">
        <f>'Battery Charging Vendors - DC'!AL8</f>
        <v/>
      </c>
      <c r="L64" s="453"/>
      <c r="M64" s="7"/>
      <c r="AK64" s="244"/>
      <c r="AL64" s="245" t="s">
        <v>184</v>
      </c>
      <c r="AM64" s="245"/>
      <c r="AN64" s="246"/>
    </row>
    <row r="65" spans="2:61" ht="37.5" customHeight="1">
      <c r="B65" s="536"/>
      <c r="C65" s="267" t="s">
        <v>492</v>
      </c>
      <c r="D65" s="546">
        <f>D61</f>
        <v>0</v>
      </c>
      <c r="E65" s="547"/>
      <c r="F65" s="548"/>
      <c r="J65" s="308" t="s">
        <v>519</v>
      </c>
      <c r="K65" s="449" t="str">
        <f>'Battery Charging Vendors - DC'!AO8</f>
        <v/>
      </c>
      <c r="L65" s="450"/>
      <c r="AK65" s="234" t="s">
        <v>479</v>
      </c>
      <c r="AL65" s="235" t="e">
        <f>(AP41+AP45+AP46+AP47)/4</f>
        <v>#VALUE!</v>
      </c>
      <c r="AM65" s="235" t="e">
        <f>(AP42+AP44)/2</f>
        <v>#VALUE!</v>
      </c>
      <c r="AN65" s="235" t="e">
        <f>AP43</f>
        <v>#VALUE!</v>
      </c>
      <c r="AW65" s="483" t="s">
        <v>127</v>
      </c>
      <c r="AX65" s="484"/>
      <c r="AY65" s="484"/>
      <c r="AZ65" s="484"/>
      <c r="BA65" s="484"/>
      <c r="BB65" s="484"/>
      <c r="BC65" s="484"/>
      <c r="BD65" s="484"/>
      <c r="BE65" s="484"/>
      <c r="BF65" s="484"/>
      <c r="BG65" s="484"/>
      <c r="BH65" s="484"/>
      <c r="BI65" s="485"/>
    </row>
    <row r="66" spans="2:61" ht="36" customHeight="1">
      <c r="B66" s="536"/>
      <c r="C66" s="368" t="s">
        <v>491</v>
      </c>
      <c r="D66" s="526" t="e">
        <f>D64*'Battery Swapping Vendors'!BF6+D64*'Battery Swapping Vendors'!BD6+E64*'Battery Swapping Vendors'!BF16+E64*'Battery Swapping Vendors'!BD16+F64*'Battery Swapping Vendors'!BF25+F64*'Battery Swapping Vendors'!BD25</f>
        <v>#VALUE!</v>
      </c>
      <c r="E66" s="527"/>
      <c r="F66" s="528"/>
      <c r="J66" s="308" t="s">
        <v>484</v>
      </c>
      <c r="K66" s="452" t="str">
        <f>'Battery Charging Vendors - DC'!AM8</f>
        <v/>
      </c>
      <c r="L66" s="453"/>
      <c r="AW66" s="17" t="s">
        <v>101</v>
      </c>
      <c r="AX66" s="480" t="s">
        <v>113</v>
      </c>
      <c r="AY66" s="481"/>
      <c r="AZ66" s="481"/>
      <c r="BA66" s="482"/>
      <c r="BB66" s="480" t="s">
        <v>114</v>
      </c>
      <c r="BC66" s="481"/>
      <c r="BD66" s="481"/>
      <c r="BE66" s="482"/>
      <c r="BF66" s="493" t="s">
        <v>115</v>
      </c>
      <c r="BG66" s="494"/>
      <c r="BH66" s="494"/>
      <c r="BI66" s="495"/>
    </row>
    <row r="67" spans="2:61" ht="33.75" customHeight="1">
      <c r="B67" s="536"/>
      <c r="C67" s="368" t="s">
        <v>490</v>
      </c>
      <c r="D67" s="529" t="e">
        <f>D64*'Battery Swapping Vendors'!BG6+E64*'Battery Swapping Vendors'!BG16+F64*'Battery Swapping Vendors'!BG25</f>
        <v>#VALUE!</v>
      </c>
      <c r="E67" s="530"/>
      <c r="F67" s="531"/>
      <c r="AJ67" s="238" t="s">
        <v>172</v>
      </c>
      <c r="AK67" s="238" t="s">
        <v>171</v>
      </c>
      <c r="AL67" s="238" t="s">
        <v>192</v>
      </c>
      <c r="AW67" s="17"/>
      <c r="AX67" s="34" t="s">
        <v>20</v>
      </c>
      <c r="AY67" s="19" t="s">
        <v>102</v>
      </c>
      <c r="AZ67" s="19" t="s">
        <v>103</v>
      </c>
      <c r="BA67" s="20" t="s">
        <v>43</v>
      </c>
      <c r="BB67" s="36" t="s">
        <v>20</v>
      </c>
      <c r="BC67" s="19" t="s">
        <v>102</v>
      </c>
      <c r="BD67" s="19" t="s">
        <v>103</v>
      </c>
      <c r="BE67" s="13" t="s">
        <v>43</v>
      </c>
      <c r="BF67" s="34" t="s">
        <v>20</v>
      </c>
      <c r="BG67" s="19" t="s">
        <v>102</v>
      </c>
      <c r="BH67" s="19" t="s">
        <v>103</v>
      </c>
      <c r="BI67" s="13" t="s">
        <v>43</v>
      </c>
    </row>
    <row r="68" spans="2:61" ht="33" customHeight="1">
      <c r="B68" s="537"/>
      <c r="C68" s="254" t="s">
        <v>462</v>
      </c>
      <c r="D68" s="532" t="e">
        <f>(D66+D67)/12</f>
        <v>#VALUE!</v>
      </c>
      <c r="E68" s="533"/>
      <c r="F68" s="534"/>
      <c r="J68" s="451" t="s">
        <v>486</v>
      </c>
      <c r="K68" s="451"/>
      <c r="L68" s="451"/>
      <c r="M68" s="451"/>
      <c r="AJ68" s="259" t="e">
        <f>IF(C24=AJ57,IF(C25=AJ48,INDEX(AK48:AP54,MATCH(AM57,AK48:AK54,0),6),INDEX(AK41:AP47,MATCH(AM57,AK41:AK47,0),6)),IF(C25=AJ48,INDEX(AK48:AP54,MATCH(AM58,AK48:AK54,0),6),INDEX(AK41:AP47,MATCH(AM58,AK41:AK47,0),6)))</f>
        <v>#VALUE!</v>
      </c>
      <c r="AK68" s="235" t="e">
        <f>IF(C24=AJ57,IF(C25=AJ48,INDEX(AK48:AP54,MATCH(AL57,AK48:AK54,0),6),INDEX(AK41:AP47,MATCH(AL57,AK41:AK47,0),6)),IF(C25=AJ48,INDEX(AK48:AP54,MATCH(AL58,AK48:AK54,0),6),INDEX(AK41:AP47,MATCH(AL58,AK41:AK47,0),6)))</f>
        <v>#VALUE!</v>
      </c>
      <c r="AL68" s="235" t="e">
        <f>IF(C24=AJ57,IF(C25=AJ48,INDEX(AK48:AP54,MATCH(AK57,AK48:AK54,0),6),INDEX(AK41:AP47,MATCH(AK57,AK41:AK47,0),6)),IF(C25=AJ48,INDEX(AK48:AP54,MATCH(AK58,AK48:AK54,0),6),INDEX(AK41:AP47,MATCH(AK58,AK41:AK47,0),6)))</f>
        <v>#VALUE!</v>
      </c>
      <c r="AW68" s="16" t="s">
        <v>116</v>
      </c>
      <c r="AX68" s="71">
        <f t="shared" ref="AX68:AZ70" si="56">AX32*AX53</f>
        <v>120.25999999999999</v>
      </c>
      <c r="AY68" s="72">
        <f t="shared" si="56"/>
        <v>274.88</v>
      </c>
      <c r="AZ68" s="73">
        <f t="shared" si="56"/>
        <v>1546.2</v>
      </c>
      <c r="BA68" s="137">
        <f>SUM(AX68:AZ68)</f>
        <v>1941.3400000000001</v>
      </c>
      <c r="BB68" s="71">
        <f t="shared" ref="BB68:BD70" si="57">AX68*$C$4</f>
        <v>2645.72</v>
      </c>
      <c r="BC68" s="72">
        <f t="shared" si="57"/>
        <v>6047.36</v>
      </c>
      <c r="BD68" s="73">
        <f t="shared" si="57"/>
        <v>34016.400000000001</v>
      </c>
      <c r="BE68" s="92">
        <f>SUM(BB68:BD68)</f>
        <v>42709.48</v>
      </c>
      <c r="BF68" s="71">
        <f t="shared" ref="BF68:BH70" si="58">BB68*12</f>
        <v>31748.639999999999</v>
      </c>
      <c r="BG68" s="72">
        <f t="shared" si="58"/>
        <v>72568.319999999992</v>
      </c>
      <c r="BH68" s="72">
        <f t="shared" si="58"/>
        <v>408196.80000000005</v>
      </c>
      <c r="BI68" s="94">
        <f>SUM(BF68:BH68)</f>
        <v>512513.76</v>
      </c>
    </row>
    <row r="69" spans="2:61" ht="33.75" customHeight="1">
      <c r="B69" s="184" t="s">
        <v>165</v>
      </c>
      <c r="C69" s="549" t="e">
        <f>IF(C30=AK70,D68+BG36,D60+BG36)</f>
        <v>#VALUE!</v>
      </c>
      <c r="D69" s="550"/>
      <c r="E69" s="550"/>
      <c r="F69" s="551"/>
      <c r="J69" s="308" t="s">
        <v>524</v>
      </c>
      <c r="K69" s="256" t="str">
        <f>IF(C30=AK70,(IF(C24=AJ90,IF(C25=AJ81,INDEX(AK81:AQ87,MATCH(AM90,AK81:AK87,0),7),INDEX(AK74:AQ80,MATCH(AM90,AK74:AK80,0),7)),IF(C25=AJ81,INDEX(AK81:AQ87,MATCH(AM91,AK81:AK87,0),7),INDEX(AK74:AQ80,MATCH(AM91,AK74:AK80,0),7)))),"#VALUE!")</f>
        <v>#VALUE!</v>
      </c>
      <c r="L69" s="256" t="str">
        <f>IF(C30=AK70,(IF(C24=AJ90,IF(C25=AJ81,INDEX(AK81:AQ87,MATCH(AL90,AK81:AK87,0),7),INDEX(AK74:AQ80,MATCH(AL90,AK74:AK80,0),7)),IF(C25=AJ81,INDEX(AK81:AQ87,MATCH(AL91,AK81:AK87,0),7),INDEX(AK74:AQ80,MATCH(AL91,AK74:AK80,0),7)))),"#VALUE!")</f>
        <v>#VALUE!</v>
      </c>
      <c r="M69" s="256" t="str">
        <f>IF(C30=AK70,(IF(C24=AJ90,IF(C25=AJ81,INDEX(AK81:AQ87,MATCH(AK90,AK81:AK87,0),7),INDEX(AK74:AQ80,MATCH(AK90,AK74:AK80,0),7)),IF(C25=AJ81,INDEX(AK81:AQ87,MATCH(AK91,AK81:AK87,0),7),INDEX(AK74:AQ80,MATCH(AK91,AK74:AK80,0),7)))),"#VALUE!")</f>
        <v>#VALUE!</v>
      </c>
      <c r="AW69" s="14" t="s">
        <v>105</v>
      </c>
      <c r="AX69" s="76">
        <f t="shared" si="56"/>
        <v>116.32</v>
      </c>
      <c r="AY69" s="77">
        <f t="shared" si="56"/>
        <v>348.96000000000004</v>
      </c>
      <c r="AZ69" s="78">
        <f t="shared" si="56"/>
        <v>0</v>
      </c>
      <c r="BA69" s="137">
        <f>SUM(AX69:AZ69)</f>
        <v>465.28000000000003</v>
      </c>
      <c r="BB69" s="76">
        <f t="shared" si="57"/>
        <v>2559.04</v>
      </c>
      <c r="BC69" s="77">
        <f t="shared" si="57"/>
        <v>7677.1200000000008</v>
      </c>
      <c r="BD69" s="78">
        <f t="shared" si="57"/>
        <v>0</v>
      </c>
      <c r="BE69" s="92">
        <f>SUM(BB69:BD69)</f>
        <v>10236.16</v>
      </c>
      <c r="BF69" s="76">
        <f t="shared" si="58"/>
        <v>30708.48</v>
      </c>
      <c r="BG69" s="77">
        <f t="shared" si="58"/>
        <v>92125.440000000002</v>
      </c>
      <c r="BH69" s="77">
        <f t="shared" si="58"/>
        <v>0</v>
      </c>
      <c r="BI69" s="94">
        <f>SUM(BF69:BH69)</f>
        <v>122833.92</v>
      </c>
    </row>
    <row r="70" spans="2:61" ht="36.75" customHeight="1">
      <c r="B70" s="185" t="s">
        <v>35</v>
      </c>
      <c r="C70" s="552" t="e">
        <f>(C69-C22)/C22</f>
        <v>#VALUE!</v>
      </c>
      <c r="D70" s="553"/>
      <c r="E70" s="553"/>
      <c r="F70" s="554"/>
      <c r="J70" s="308" t="s">
        <v>517</v>
      </c>
      <c r="K70" s="256" t="str">
        <f>'Battery Swapping Vendors'!AW6</f>
        <v/>
      </c>
      <c r="L70" s="256" t="str">
        <f>'Battery Swapping Vendors'!AW16</f>
        <v/>
      </c>
      <c r="M70" s="256" t="str">
        <f>'Battery Swapping Vendors'!AW25</f>
        <v/>
      </c>
      <c r="AK70" s="464" t="s">
        <v>486</v>
      </c>
      <c r="AL70" s="464"/>
      <c r="AM70" s="464"/>
      <c r="AN70" s="464"/>
      <c r="AO70" s="464"/>
      <c r="AP70" s="464"/>
      <c r="AQ70" s="393"/>
      <c r="AW70" s="81" t="s">
        <v>106</v>
      </c>
      <c r="AX70" s="82">
        <f t="shared" si="56"/>
        <v>51.890907103825214</v>
      </c>
      <c r="AY70" s="83">
        <f t="shared" si="56"/>
        <v>0</v>
      </c>
      <c r="AZ70" s="84">
        <f t="shared" si="56"/>
        <v>0</v>
      </c>
      <c r="BA70" s="137">
        <f>SUM(AX70:AZ70)</f>
        <v>51.890907103825214</v>
      </c>
      <c r="BB70" s="82">
        <f t="shared" si="57"/>
        <v>1141.5999562841548</v>
      </c>
      <c r="BC70" s="83">
        <f t="shared" si="57"/>
        <v>0</v>
      </c>
      <c r="BD70" s="84">
        <f t="shared" si="57"/>
        <v>0</v>
      </c>
      <c r="BE70" s="92">
        <f>SUM(BB70:BD70)</f>
        <v>1141.5999562841548</v>
      </c>
      <c r="BF70" s="82">
        <f t="shared" si="58"/>
        <v>13699.199475409858</v>
      </c>
      <c r="BG70" s="83">
        <f t="shared" si="58"/>
        <v>0</v>
      </c>
      <c r="BH70" s="83">
        <f t="shared" si="58"/>
        <v>0</v>
      </c>
      <c r="BI70" s="94">
        <f>SUM(BF70:BH70)</f>
        <v>13699.199475409858</v>
      </c>
    </row>
    <row r="71" spans="2:61" ht="34.5" customHeight="1">
      <c r="B71" s="151" t="s">
        <v>38</v>
      </c>
      <c r="C71" s="186" t="s">
        <v>160</v>
      </c>
      <c r="D71" s="186" t="s">
        <v>145</v>
      </c>
      <c r="E71" s="502" t="s">
        <v>483</v>
      </c>
      <c r="F71" s="503"/>
      <c r="J71" s="308" t="s">
        <v>522</v>
      </c>
      <c r="K71" s="256" t="str">
        <f>'Battery Swapping Vendors'!BA6</f>
        <v/>
      </c>
      <c r="L71" s="256" t="str">
        <f>'Battery Swapping Vendors'!BA16</f>
        <v/>
      </c>
      <c r="M71" s="256" t="str">
        <f>'Battery Swapping Vendors'!BA25</f>
        <v/>
      </c>
      <c r="AK71" s="394"/>
      <c r="AL71" s="394"/>
      <c r="AM71" s="394"/>
      <c r="AN71" s="394"/>
      <c r="AO71" s="394"/>
      <c r="AP71" s="394"/>
      <c r="AQ71" s="394"/>
    </row>
    <row r="72" spans="2:61" ht="33" customHeight="1">
      <c r="B72" s="147" t="s">
        <v>36</v>
      </c>
      <c r="C72" s="174">
        <f>BH14/BG16</f>
        <v>0.95</v>
      </c>
      <c r="D72" s="174">
        <f>IF(C72="#VALUE!","#VALUE!",0%)</f>
        <v>0</v>
      </c>
      <c r="E72" s="516">
        <f>BG15/BG16</f>
        <v>0.05</v>
      </c>
      <c r="F72" s="517"/>
      <c r="J72" s="308" t="s">
        <v>557</v>
      </c>
      <c r="K72" s="256" t="str">
        <f>'Battery Swapping Vendors'!BB6</f>
        <v/>
      </c>
      <c r="L72" s="256" t="str">
        <f>'Battery Swapping Vendors'!BB16</f>
        <v/>
      </c>
      <c r="M72" s="256" t="str">
        <f>'Battery Swapping Vendors'!BB25</f>
        <v/>
      </c>
      <c r="AJ72" s="216"/>
      <c r="AK72" s="395"/>
      <c r="AL72" s="396" t="s">
        <v>464</v>
      </c>
      <c r="AM72" s="396" t="s">
        <v>465</v>
      </c>
      <c r="AN72" s="396" t="s">
        <v>480</v>
      </c>
      <c r="AO72" s="396" t="s">
        <v>466</v>
      </c>
      <c r="AP72" s="396" t="s">
        <v>470</v>
      </c>
      <c r="AQ72" s="397" t="s">
        <v>493</v>
      </c>
    </row>
    <row r="73" spans="2:61" ht="30.75" customHeight="1">
      <c r="B73" s="152" t="s">
        <v>37</v>
      </c>
      <c r="C73" s="175" t="e">
        <f>BH34/C69</f>
        <v>#VALUE!</v>
      </c>
      <c r="D73" s="175" t="e">
        <f>IF(C30=AK70,D68/C69,D60/C69)</f>
        <v>#VALUE!</v>
      </c>
      <c r="E73" s="462" t="e">
        <f>BG35/C69</f>
        <v>#VALUE!</v>
      </c>
      <c r="F73" s="463"/>
      <c r="J73" s="308" t="s">
        <v>520</v>
      </c>
      <c r="K73" s="256" t="str">
        <f>'Battery Swapping Vendors'!BC6</f>
        <v/>
      </c>
      <c r="L73" s="256" t="str">
        <f>'Battery Swapping Vendors'!BC16</f>
        <v/>
      </c>
      <c r="M73" s="256" t="str">
        <f>'Battery Swapping Vendors'!BC25</f>
        <v/>
      </c>
      <c r="AJ73" s="216"/>
      <c r="AK73" s="398" t="s">
        <v>463</v>
      </c>
      <c r="AL73" s="399">
        <f>(540000+555000+552000+505000+1107500+520000)/6</f>
        <v>629916.66666666663</v>
      </c>
      <c r="AM73" s="398" t="e">
        <f>IF(C25=AJ74,105000,(105000/12)*$C$26)</f>
        <v>#VALUE!</v>
      </c>
      <c r="AN73" s="398" t="e">
        <f>IF(C25=AJ74,64350,(64350/12)*$C$26)</f>
        <v>#VALUE!</v>
      </c>
      <c r="AO73" s="400" t="e">
        <f t="shared" ref="AO73:AO80" si="59">SUM(AL73:AN73)</f>
        <v>#VALUE!</v>
      </c>
      <c r="AP73" s="398"/>
      <c r="AQ73" s="401"/>
    </row>
    <row r="74" spans="2:61" ht="30.75" customHeight="1">
      <c r="B74" s="518" t="s">
        <v>36</v>
      </c>
      <c r="C74" s="524" t="s">
        <v>39</v>
      </c>
      <c r="D74" s="525"/>
      <c r="E74" s="524" t="s">
        <v>40</v>
      </c>
      <c r="F74" s="525"/>
      <c r="J74" s="308" t="s">
        <v>519</v>
      </c>
      <c r="K74" s="364" t="str">
        <f>'Battery Swapping Vendors'!BD6</f>
        <v/>
      </c>
      <c r="L74" s="364" t="str">
        <f>'Battery Swapping Vendors'!BD16</f>
        <v/>
      </c>
      <c r="M74" s="364" t="str">
        <f>'Battery Swapping Vendors'!BD25</f>
        <v/>
      </c>
      <c r="AJ74" s="249" t="s">
        <v>478</v>
      </c>
      <c r="AK74" s="398" t="s">
        <v>495</v>
      </c>
      <c r="AL74" s="399">
        <f>AL41-0.4*AL41</f>
        <v>1428739.7999999998</v>
      </c>
      <c r="AM74" s="398">
        <f>35000</f>
        <v>35000</v>
      </c>
      <c r="AN74" s="402">
        <f>118292</f>
        <v>118292</v>
      </c>
      <c r="AO74" s="400">
        <f t="shared" si="59"/>
        <v>1582031.7999999998</v>
      </c>
      <c r="AP74" s="403" t="e">
        <f t="shared" ref="AP74:AP80" si="60">AO74/$AO$40</f>
        <v>#VALUE!</v>
      </c>
      <c r="AQ74" s="401" t="str">
        <f>'EV Models '!C$18</f>
        <v>Li-ion Polymer</v>
      </c>
    </row>
    <row r="75" spans="2:61" ht="33" customHeight="1">
      <c r="B75" s="519"/>
      <c r="C75" s="187" t="s">
        <v>42</v>
      </c>
      <c r="D75" s="370" t="s">
        <v>41</v>
      </c>
      <c r="E75" s="187" t="s">
        <v>42</v>
      </c>
      <c r="F75" s="370" t="s">
        <v>41</v>
      </c>
      <c r="J75" s="308" t="s">
        <v>484</v>
      </c>
      <c r="K75" s="256" t="str">
        <f>'Battery Swapping Vendors'!BE6</f>
        <v/>
      </c>
      <c r="L75" s="256" t="str">
        <f>'Battery Swapping Vendors'!BE16</f>
        <v/>
      </c>
      <c r="M75" s="256" t="str">
        <f>'Battery Swapping Vendors'!BE25</f>
        <v/>
      </c>
      <c r="AJ75" s="216"/>
      <c r="AK75" s="398" t="s">
        <v>494</v>
      </c>
      <c r="AL75" s="399">
        <f>AL42-0.4*AL42</f>
        <v>619446.89999999991</v>
      </c>
      <c r="AM75" s="398">
        <f>35000</f>
        <v>35000</v>
      </c>
      <c r="AN75" s="402">
        <f t="shared" ref="AN75:AN80" si="61">118292</f>
        <v>118292</v>
      </c>
      <c r="AO75" s="400">
        <f t="shared" si="59"/>
        <v>772738.89999999991</v>
      </c>
      <c r="AP75" s="403" t="e">
        <f t="shared" si="60"/>
        <v>#VALUE!</v>
      </c>
      <c r="AQ75" s="401" t="str">
        <f>'EV Models '!D$18</f>
        <v xml:space="preserve">Lithium ion </v>
      </c>
    </row>
    <row r="76" spans="2:61" ht="28.5" customHeight="1">
      <c r="B76" s="520"/>
      <c r="C76" s="169">
        <f>(SUM(BE68:BE70))*0.001</f>
        <v>54.087239956284151</v>
      </c>
      <c r="D76" s="265">
        <f>C76*15</f>
        <v>811.30859934426223</v>
      </c>
      <c r="E76" s="169">
        <f>SUM(BI68:BI70)*0.001</f>
        <v>649.04687947540992</v>
      </c>
      <c r="F76" s="265">
        <f>E76*15</f>
        <v>9735.7031921311482</v>
      </c>
      <c r="AJ76" s="216"/>
      <c r="AK76" s="398" t="s">
        <v>467</v>
      </c>
      <c r="AL76" s="399">
        <f t="shared" ref="AL76:AL80" si="62">AL43-0.4*AL43</f>
        <v>477180.6</v>
      </c>
      <c r="AM76" s="398">
        <f>35000</f>
        <v>35000</v>
      </c>
      <c r="AN76" s="402">
        <f t="shared" si="61"/>
        <v>118292</v>
      </c>
      <c r="AO76" s="400">
        <f t="shared" si="59"/>
        <v>630472.6</v>
      </c>
      <c r="AP76" s="403" t="e">
        <f t="shared" si="60"/>
        <v>#VALUE!</v>
      </c>
      <c r="AQ76" s="401" t="str">
        <f>'EV Models '!E$18</f>
        <v xml:space="preserve">Lithium ion </v>
      </c>
    </row>
    <row r="77" spans="2:61" ht="33" customHeight="1">
      <c r="B77" s="521" t="s">
        <v>37</v>
      </c>
      <c r="C77" s="524" t="s">
        <v>39</v>
      </c>
      <c r="D77" s="525"/>
      <c r="E77" s="524" t="s">
        <v>40</v>
      </c>
      <c r="F77" s="525"/>
      <c r="AJ77" s="216"/>
      <c r="AK77" s="398" t="s">
        <v>468</v>
      </c>
      <c r="AL77" s="399">
        <f t="shared" si="62"/>
        <v>642182.39999999991</v>
      </c>
      <c r="AM77" s="398">
        <f>35000</f>
        <v>35000</v>
      </c>
      <c r="AN77" s="402">
        <f t="shared" si="61"/>
        <v>118292</v>
      </c>
      <c r="AO77" s="400">
        <f>SUM(AL77:AN77)</f>
        <v>795474.39999999991</v>
      </c>
      <c r="AP77" s="403" t="e">
        <f t="shared" si="60"/>
        <v>#VALUE!</v>
      </c>
      <c r="AQ77" s="401" t="str">
        <f>'EV Models '!F$18</f>
        <v xml:space="preserve">Lithium ion </v>
      </c>
    </row>
    <row r="78" spans="2:61" ht="32.25" customHeight="1">
      <c r="B78" s="522"/>
      <c r="C78" s="187" t="s">
        <v>42</v>
      </c>
      <c r="D78" s="370" t="s">
        <v>41</v>
      </c>
      <c r="E78" s="187" t="s">
        <v>42</v>
      </c>
      <c r="F78" s="370" t="s">
        <v>41</v>
      </c>
      <c r="AJ78" s="216"/>
      <c r="AK78" s="398" t="s">
        <v>182</v>
      </c>
      <c r="AL78" s="399">
        <f t="shared" si="62"/>
        <v>1333800</v>
      </c>
      <c r="AM78" s="398">
        <f>35000</f>
        <v>35000</v>
      </c>
      <c r="AN78" s="402">
        <f t="shared" si="61"/>
        <v>118292</v>
      </c>
      <c r="AO78" s="400">
        <f t="shared" si="59"/>
        <v>1487092</v>
      </c>
      <c r="AP78" s="403" t="e">
        <f t="shared" si="60"/>
        <v>#VALUE!</v>
      </c>
      <c r="AQ78" s="401" t="str">
        <f>'EV Models '!G$18</f>
        <v xml:space="preserve">Lithium ion </v>
      </c>
    </row>
    <row r="79" spans="2:61" ht="30.75" customHeight="1">
      <c r="B79" s="523"/>
      <c r="C79" s="169">
        <f>SUM(BE60:BE63)*0.001</f>
        <v>20.82675995628415</v>
      </c>
      <c r="D79" s="266">
        <f>C79*15</f>
        <v>312.40139934426224</v>
      </c>
      <c r="E79" s="169">
        <f>SUM(BI60:BI63)*0.001</f>
        <v>249.92111947540985</v>
      </c>
      <c r="F79" s="266">
        <f>E79*15</f>
        <v>3748.8167921311478</v>
      </c>
      <c r="AJ79" s="216"/>
      <c r="AK79" s="398" t="s">
        <v>183</v>
      </c>
      <c r="AL79" s="399">
        <f t="shared" si="62"/>
        <v>2100000</v>
      </c>
      <c r="AM79" s="398">
        <f>35000</f>
        <v>35000</v>
      </c>
      <c r="AN79" s="402">
        <f t="shared" si="61"/>
        <v>118292</v>
      </c>
      <c r="AO79" s="400">
        <f t="shared" si="59"/>
        <v>2253292</v>
      </c>
      <c r="AP79" s="403" t="e">
        <f t="shared" si="60"/>
        <v>#VALUE!</v>
      </c>
      <c r="AQ79" s="401" t="str">
        <f>'EV Models '!H$18</f>
        <v xml:space="preserve">Lithium ion </v>
      </c>
    </row>
    <row r="80" spans="2:61" ht="30.75" customHeight="1">
      <c r="B80" s="461" t="s">
        <v>565</v>
      </c>
      <c r="C80" s="255" t="s">
        <v>172</v>
      </c>
      <c r="D80" s="255" t="s">
        <v>171</v>
      </c>
      <c r="E80" s="255" t="s">
        <v>192</v>
      </c>
      <c r="F80" s="255" t="s">
        <v>23</v>
      </c>
      <c r="AJ80" s="216"/>
      <c r="AK80" s="398" t="s">
        <v>469</v>
      </c>
      <c r="AL80" s="399">
        <f t="shared" si="62"/>
        <v>960000</v>
      </c>
      <c r="AM80" s="398">
        <f>35000</f>
        <v>35000</v>
      </c>
      <c r="AN80" s="402">
        <f t="shared" si="61"/>
        <v>118292</v>
      </c>
      <c r="AO80" s="400">
        <f t="shared" si="59"/>
        <v>1113292</v>
      </c>
      <c r="AP80" s="403" t="e">
        <f t="shared" si="60"/>
        <v>#VALUE!</v>
      </c>
      <c r="AQ80" s="401" t="str">
        <f>'EV Models '!I$18</f>
        <v xml:space="preserve">Lithium ion </v>
      </c>
    </row>
    <row r="81" spans="2:43" ht="39.75" customHeight="1">
      <c r="B81" s="461"/>
      <c r="C81" s="378">
        <f>C82/$F$40</f>
        <v>0.93203883495145634</v>
      </c>
      <c r="D81" s="378">
        <f t="shared" ref="D81:F81" si="63">D82/$F$40</f>
        <v>6.7961165048543687E-2</v>
      </c>
      <c r="E81" s="378">
        <f t="shared" si="63"/>
        <v>0</v>
      </c>
      <c r="F81" s="378">
        <f t="shared" si="63"/>
        <v>1</v>
      </c>
      <c r="AJ81" s="248" t="s">
        <v>173</v>
      </c>
      <c r="AK81" s="398" t="s">
        <v>495</v>
      </c>
      <c r="AL81" s="399" t="e">
        <f t="shared" ref="AL81:AL87" si="64">AL48-0.4*AL48</f>
        <v>#VALUE!</v>
      </c>
      <c r="AM81" s="398" t="e">
        <f>(AM74/12)*$C$26</f>
        <v>#VALUE!</v>
      </c>
      <c r="AN81" s="402" t="e">
        <f>(AN74/12)*$C$26</f>
        <v>#VALUE!</v>
      </c>
      <c r="AO81" s="400" t="e">
        <f t="shared" ref="AO81:AO87" si="65">SUM(AL81:AN81)</f>
        <v>#VALUE!</v>
      </c>
      <c r="AP81" s="403" t="e">
        <f t="shared" ref="AP81:AP87" si="66">AO81/$AO$40</f>
        <v>#VALUE!</v>
      </c>
      <c r="AQ81" s="401" t="str">
        <f>'EV Models '!C$18</f>
        <v>Li-ion Polymer</v>
      </c>
    </row>
    <row r="82" spans="2:43" ht="42" customHeight="1">
      <c r="B82" s="461"/>
      <c r="C82" s="256">
        <f>$BN$33</f>
        <v>96</v>
      </c>
      <c r="D82" s="256">
        <f>$BN$34</f>
        <v>7</v>
      </c>
      <c r="E82" s="256">
        <f>$BN$35</f>
        <v>0</v>
      </c>
      <c r="F82" s="256">
        <f>SUM(C82:E82)</f>
        <v>103</v>
      </c>
      <c r="AK82" s="398" t="s">
        <v>494</v>
      </c>
      <c r="AL82" s="399" t="e">
        <f t="shared" si="64"/>
        <v>#VALUE!</v>
      </c>
      <c r="AM82" s="398" t="e">
        <f t="shared" ref="AM82:AM87" si="67">(AM75/12)*$C$26</f>
        <v>#VALUE!</v>
      </c>
      <c r="AN82" s="402" t="s">
        <v>575</v>
      </c>
      <c r="AO82" s="400" t="e">
        <f t="shared" si="65"/>
        <v>#VALUE!</v>
      </c>
      <c r="AP82" s="403" t="e">
        <f t="shared" si="66"/>
        <v>#VALUE!</v>
      </c>
      <c r="AQ82" s="401" t="str">
        <f>'EV Models '!D$18</f>
        <v xml:space="preserve">Lithium ion </v>
      </c>
    </row>
    <row r="83" spans="2:43" ht="38.25" customHeight="1">
      <c r="B83" s="461" t="s">
        <v>566</v>
      </c>
      <c r="C83" s="379" t="s">
        <v>569</v>
      </c>
      <c r="D83" s="255" t="s">
        <v>567</v>
      </c>
      <c r="E83" s="255" t="s">
        <v>573</v>
      </c>
      <c r="F83" s="255" t="s">
        <v>23</v>
      </c>
      <c r="AK83" s="398" t="s">
        <v>467</v>
      </c>
      <c r="AL83" s="399" t="e">
        <f t="shared" si="64"/>
        <v>#VALUE!</v>
      </c>
      <c r="AM83" s="398" t="e">
        <f t="shared" si="67"/>
        <v>#VALUE!</v>
      </c>
      <c r="AN83" s="402" t="e">
        <f>(AN76/12)*$C$26</f>
        <v>#VALUE!</v>
      </c>
      <c r="AO83" s="400" t="e">
        <f t="shared" si="65"/>
        <v>#VALUE!</v>
      </c>
      <c r="AP83" s="403" t="e">
        <f t="shared" si="66"/>
        <v>#VALUE!</v>
      </c>
      <c r="AQ83" s="401" t="str">
        <f>'EV Models '!E$18</f>
        <v xml:space="preserve">Lithium ion </v>
      </c>
    </row>
    <row r="84" spans="2:43" ht="38.25" customHeight="1">
      <c r="B84" s="461"/>
      <c r="C84" s="378">
        <f>C85/$F$46</f>
        <v>0.92307692307692313</v>
      </c>
      <c r="D84" s="378">
        <f t="shared" ref="D84:F84" si="68">D85/$F$46</f>
        <v>7.6923076923076927E-2</v>
      </c>
      <c r="E84" s="378">
        <f t="shared" si="68"/>
        <v>0</v>
      </c>
      <c r="F84" s="378">
        <f t="shared" si="68"/>
        <v>1</v>
      </c>
      <c r="AK84" s="398" t="s">
        <v>468</v>
      </c>
      <c r="AL84" s="399" t="e">
        <f t="shared" si="64"/>
        <v>#VALUE!</v>
      </c>
      <c r="AM84" s="398" t="e">
        <f t="shared" si="67"/>
        <v>#VALUE!</v>
      </c>
      <c r="AN84" s="402" t="e">
        <f>(AN77/12)*$C$26</f>
        <v>#VALUE!</v>
      </c>
      <c r="AO84" s="400" t="e">
        <f t="shared" si="65"/>
        <v>#VALUE!</v>
      </c>
      <c r="AP84" s="403" t="e">
        <f t="shared" si="66"/>
        <v>#VALUE!</v>
      </c>
      <c r="AQ84" s="401" t="str">
        <f>'EV Models '!F$18</f>
        <v xml:space="preserve">Lithium ion </v>
      </c>
    </row>
    <row r="85" spans="2:43" ht="37.5" customHeight="1">
      <c r="B85" s="461"/>
      <c r="C85" s="256">
        <f>$BN$36</f>
        <v>144</v>
      </c>
      <c r="D85" s="256">
        <f>$BN$37</f>
        <v>12</v>
      </c>
      <c r="E85" s="256">
        <f>$BN$38</f>
        <v>0</v>
      </c>
      <c r="F85" s="256">
        <f>SUM(C85:E85)</f>
        <v>156</v>
      </c>
      <c r="AK85" s="398" t="s">
        <v>182</v>
      </c>
      <c r="AL85" s="399" t="e">
        <f t="shared" si="64"/>
        <v>#VALUE!</v>
      </c>
      <c r="AM85" s="398" t="e">
        <f t="shared" si="67"/>
        <v>#VALUE!</v>
      </c>
      <c r="AN85" s="402" t="e">
        <f>(AN78/12)*$C$26</f>
        <v>#VALUE!</v>
      </c>
      <c r="AO85" s="400" t="e">
        <f t="shared" si="65"/>
        <v>#VALUE!</v>
      </c>
      <c r="AP85" s="403" t="e">
        <f t="shared" si="66"/>
        <v>#VALUE!</v>
      </c>
      <c r="AQ85" s="401" t="str">
        <f>'EV Models '!G$18</f>
        <v xml:space="preserve">Lithium ion </v>
      </c>
    </row>
    <row r="86" spans="2:43" ht="15.75">
      <c r="AK86" s="398" t="s">
        <v>183</v>
      </c>
      <c r="AL86" s="399" t="e">
        <f t="shared" si="64"/>
        <v>#VALUE!</v>
      </c>
      <c r="AM86" s="398" t="e">
        <f t="shared" si="67"/>
        <v>#VALUE!</v>
      </c>
      <c r="AN86" s="402" t="e">
        <f>(AN79/12)*$C$26</f>
        <v>#VALUE!</v>
      </c>
      <c r="AO86" s="400" t="e">
        <f t="shared" si="65"/>
        <v>#VALUE!</v>
      </c>
      <c r="AP86" s="403" t="e">
        <f t="shared" si="66"/>
        <v>#VALUE!</v>
      </c>
      <c r="AQ86" s="401" t="str">
        <f>'EV Models '!H$18</f>
        <v xml:space="preserve">Lithium ion </v>
      </c>
    </row>
    <row r="87" spans="2:43" ht="15.75">
      <c r="AK87" s="398" t="s">
        <v>469</v>
      </c>
      <c r="AL87" s="399" t="e">
        <f t="shared" si="64"/>
        <v>#VALUE!</v>
      </c>
      <c r="AM87" s="398" t="e">
        <f t="shared" si="67"/>
        <v>#VALUE!</v>
      </c>
      <c r="AN87" s="402" t="e">
        <f>(AN80/12)*$C$26</f>
        <v>#VALUE!</v>
      </c>
      <c r="AO87" s="400" t="e">
        <f t="shared" si="65"/>
        <v>#VALUE!</v>
      </c>
      <c r="AP87" s="403" t="e">
        <f t="shared" si="66"/>
        <v>#VALUE!</v>
      </c>
      <c r="AQ87" s="401" t="str">
        <f>'EV Models '!I$18</f>
        <v xml:space="preserve">Lithium ion </v>
      </c>
    </row>
    <row r="88" spans="2:43" ht="15.75">
      <c r="AK88" s="394"/>
      <c r="AL88" s="404"/>
      <c r="AM88" s="394"/>
      <c r="AN88" s="394"/>
      <c r="AO88" s="394"/>
      <c r="AP88" s="394"/>
      <c r="AQ88" s="394"/>
    </row>
    <row r="89" spans="2:43" ht="15.75">
      <c r="AK89" s="398" t="s">
        <v>192</v>
      </c>
      <c r="AL89" s="398" t="s">
        <v>472</v>
      </c>
      <c r="AM89" s="398" t="s">
        <v>172</v>
      </c>
      <c r="AN89" s="395"/>
      <c r="AO89" s="394"/>
      <c r="AP89" s="394"/>
      <c r="AQ89" s="394"/>
    </row>
    <row r="90" spans="2:43" ht="15.75">
      <c r="AJ90" s="247" t="s">
        <v>174</v>
      </c>
      <c r="AK90" s="398" t="s">
        <v>495</v>
      </c>
      <c r="AL90" s="398" t="s">
        <v>182</v>
      </c>
      <c r="AM90" s="398" t="s">
        <v>467</v>
      </c>
      <c r="AN90" s="395"/>
      <c r="AO90" s="394"/>
      <c r="AP90" s="394"/>
      <c r="AQ90" s="394"/>
    </row>
    <row r="91" spans="2:43" ht="15.75">
      <c r="AJ91" s="247" t="s">
        <v>477</v>
      </c>
      <c r="AK91" s="398" t="s">
        <v>469</v>
      </c>
      <c r="AL91" s="398" t="s">
        <v>494</v>
      </c>
      <c r="AM91" s="398" t="s">
        <v>467</v>
      </c>
      <c r="AN91" s="395"/>
      <c r="AO91" s="394"/>
      <c r="AP91" s="405"/>
      <c r="AQ91" s="394"/>
    </row>
    <row r="92" spans="2:43" ht="15.75">
      <c r="AK92" s="395"/>
      <c r="AL92" s="395"/>
      <c r="AM92" s="395"/>
      <c r="AN92" s="395"/>
      <c r="AO92" s="394"/>
      <c r="AP92" s="394"/>
      <c r="AQ92" s="394"/>
    </row>
    <row r="93" spans="2:43" ht="15.75">
      <c r="AK93" s="406" t="s">
        <v>473</v>
      </c>
      <c r="AL93" s="407" t="s">
        <v>192</v>
      </c>
      <c r="AM93" s="407" t="s">
        <v>171</v>
      </c>
      <c r="AN93" s="408" t="s">
        <v>172</v>
      </c>
      <c r="AO93" s="394"/>
      <c r="AP93" s="394"/>
      <c r="AQ93" s="394"/>
    </row>
    <row r="94" spans="2:43" ht="15.75">
      <c r="AK94" s="409" t="s">
        <v>192</v>
      </c>
      <c r="AL94" s="410" t="s">
        <v>474</v>
      </c>
      <c r="AM94" s="410" t="s">
        <v>475</v>
      </c>
      <c r="AN94" s="411" t="s">
        <v>476</v>
      </c>
      <c r="AO94" s="394"/>
      <c r="AP94" s="394"/>
      <c r="AQ94" s="394"/>
    </row>
    <row r="95" spans="2:43" ht="15.75">
      <c r="AK95" s="409" t="s">
        <v>171</v>
      </c>
      <c r="AL95" s="410" t="s">
        <v>182</v>
      </c>
      <c r="AM95" s="410" t="s">
        <v>181</v>
      </c>
      <c r="AN95" s="411"/>
      <c r="AO95" s="394"/>
      <c r="AP95" s="394"/>
      <c r="AQ95" s="394"/>
    </row>
    <row r="96" spans="2:43" ht="15.75">
      <c r="AK96" s="409" t="s">
        <v>172</v>
      </c>
      <c r="AL96" s="410" t="s">
        <v>183</v>
      </c>
      <c r="AM96" s="410"/>
      <c r="AN96" s="411"/>
      <c r="AO96" s="394"/>
      <c r="AP96" s="394"/>
      <c r="AQ96" s="394"/>
    </row>
    <row r="97" spans="36:44" ht="15.75">
      <c r="AK97" s="412"/>
      <c r="AL97" s="413" t="s">
        <v>184</v>
      </c>
      <c r="AM97" s="413"/>
      <c r="AN97" s="414"/>
      <c r="AO97" s="394"/>
      <c r="AP97" s="394"/>
      <c r="AQ97" s="394"/>
    </row>
    <row r="98" spans="36:44" ht="15.75">
      <c r="AK98" s="398" t="s">
        <v>479</v>
      </c>
      <c r="AL98" s="403" t="e">
        <f>(AP74+AP78+AP79+AP80)/4</f>
        <v>#VALUE!</v>
      </c>
      <c r="AM98" s="403" t="e">
        <f>(AP75+AP77)/2</f>
        <v>#VALUE!</v>
      </c>
      <c r="AN98" s="403" t="e">
        <f>AP76</f>
        <v>#VALUE!</v>
      </c>
      <c r="AO98" s="394"/>
      <c r="AP98" s="394"/>
      <c r="AQ98" s="394"/>
    </row>
    <row r="99" spans="36:44" ht="15.75">
      <c r="AK99" s="394"/>
      <c r="AL99" s="394"/>
      <c r="AM99" s="394"/>
      <c r="AN99" s="394"/>
      <c r="AO99" s="394"/>
      <c r="AP99" s="394"/>
      <c r="AQ99" s="394"/>
    </row>
    <row r="100" spans="36:44" ht="15.75">
      <c r="AJ100" s="238" t="s">
        <v>172</v>
      </c>
      <c r="AK100" s="410" t="s">
        <v>171</v>
      </c>
      <c r="AL100" s="410" t="s">
        <v>192</v>
      </c>
      <c r="AM100" s="394"/>
      <c r="AN100" s="394"/>
      <c r="AO100" s="394"/>
      <c r="AP100" s="394"/>
      <c r="AQ100" s="394"/>
    </row>
    <row r="101" spans="36:44" ht="15.75">
      <c r="AJ101" s="259" t="e">
        <f>IF(C24=AJ90,IF(C25=AJ81,INDEX(AK81:AP87,MATCH(AM90,AK81:AK87,0),6),INDEX(AK74:AP80,MATCH(AM90,AK74:AK80,0),6)),IF(C25=AJ81,INDEX(AK81:AP87,MATCH(AM91,AK81:AK87,0),6),INDEX(AK74:AP80,MATCH(AM91,AK74:AK80,0),6)))</f>
        <v>#VALUE!</v>
      </c>
      <c r="AK101" s="403" t="e">
        <f>IF(C24=AJ90,IF(C25=AJ81,INDEX(AK81:AP87,MATCH(AL90,AK81:AK87,0),6),INDEX(AK74:AP80,MATCH(AL90,AK74:AK80,0),6)),IF(C25=AJ81,INDEX(AK81:AP87,MATCH(AL91,AK81:AK87,0),6),INDEX(AK74:AP80,MATCH(AL91,AK74:AK80,0),6)))</f>
        <v>#VALUE!</v>
      </c>
      <c r="AL101" s="403" t="e">
        <f>IF(C24=AJ90,IF(C25=AJ81,INDEX(AK81:AP87,MATCH(AK90,AK81:AK87,0),6),INDEX(AK74:AP80,MATCH(AK90,AK74:AK80,0),6)),IF(C25=AJ81,INDEX(AK81:AP87,MATCH(AK91,AK81:AK87,0),6),INDEX(AK74:AP80,MATCH(AK91,AK74:AK80,0),6)))</f>
        <v>#VALUE!</v>
      </c>
      <c r="AM101" s="394"/>
      <c r="AN101" s="394"/>
      <c r="AO101" s="394"/>
      <c r="AP101" s="394"/>
      <c r="AQ101" s="394"/>
    </row>
    <row r="102" spans="36:44" ht="15.75">
      <c r="AK102" s="394"/>
      <c r="AL102" s="394"/>
      <c r="AM102" s="394"/>
      <c r="AN102" s="394"/>
      <c r="AO102" s="394"/>
      <c r="AP102" s="394"/>
      <c r="AQ102" s="394"/>
      <c r="AR102" s="394"/>
    </row>
    <row r="103" spans="36:44" ht="15.75">
      <c r="AK103" s="464" t="s">
        <v>511</v>
      </c>
      <c r="AL103" s="464"/>
      <c r="AM103" s="464"/>
      <c r="AN103" s="464"/>
      <c r="AO103" s="464"/>
      <c r="AP103" s="464"/>
      <c r="AQ103" s="394"/>
      <c r="AR103" s="394"/>
    </row>
    <row r="104" spans="36:44" ht="15.75">
      <c r="AK104" s="394"/>
      <c r="AL104" s="394"/>
      <c r="AM104" s="394"/>
      <c r="AN104" s="394"/>
      <c r="AO104" s="394"/>
      <c r="AP104" s="394"/>
      <c r="AQ104" s="394"/>
      <c r="AR104" s="394"/>
    </row>
    <row r="105" spans="36:44" ht="15.75">
      <c r="AJ105" s="216"/>
      <c r="AK105" s="395"/>
      <c r="AL105" s="396" t="s">
        <v>464</v>
      </c>
      <c r="AM105" s="396" t="s">
        <v>509</v>
      </c>
      <c r="AN105" s="396" t="s">
        <v>465</v>
      </c>
      <c r="AO105" s="396" t="s">
        <v>480</v>
      </c>
      <c r="AP105" s="396" t="s">
        <v>466</v>
      </c>
      <c r="AQ105" s="396" t="s">
        <v>470</v>
      </c>
      <c r="AR105" s="394"/>
    </row>
    <row r="106" spans="36:44" ht="15.75">
      <c r="AJ106" s="216"/>
      <c r="AK106" s="398" t="s">
        <v>463</v>
      </c>
      <c r="AL106" s="399">
        <f>(540000+555000+552000+505000+1107500+520000)/6</f>
        <v>629916.66666666663</v>
      </c>
      <c r="AM106" s="398">
        <v>0</v>
      </c>
      <c r="AN106" s="398" t="e">
        <f>IF(C25=AJ107,105000,(105000/12)*$C$26)</f>
        <v>#VALUE!</v>
      </c>
      <c r="AO106" s="398" t="e">
        <f>IF(C25=AJ107,64350,(64350/12)*$C$26)</f>
        <v>#VALUE!</v>
      </c>
      <c r="AP106" s="400" t="e">
        <f>SUM(AL106:AO106)</f>
        <v>#VALUE!</v>
      </c>
      <c r="AQ106" s="398"/>
      <c r="AR106" s="394"/>
    </row>
    <row r="107" spans="36:44" ht="15.75">
      <c r="AJ107" s="249" t="s">
        <v>478</v>
      </c>
      <c r="AK107" s="398" t="s">
        <v>495</v>
      </c>
      <c r="AL107" s="399">
        <f>AL41-0.4*AL41</f>
        <v>1428739.7999999998</v>
      </c>
      <c r="AM107" s="398" t="e">
        <f t="shared" ref="AM107:AM113" si="69">50000*$E$35*(12/$E$35)</f>
        <v>#VALUE!</v>
      </c>
      <c r="AN107" s="398">
        <f>35000</f>
        <v>35000</v>
      </c>
      <c r="AO107" s="402">
        <f>462*12</f>
        <v>5544</v>
      </c>
      <c r="AP107" s="400" t="e">
        <f t="shared" ref="AP107:AP120" si="70">SUM(AL107:AO107)</f>
        <v>#VALUE!</v>
      </c>
      <c r="AQ107" s="403" t="e">
        <f t="shared" ref="AQ107:AQ120" si="71">AP107/$AO$40</f>
        <v>#VALUE!</v>
      </c>
      <c r="AR107" s="394"/>
    </row>
    <row r="108" spans="36:44" ht="15.75">
      <c r="AJ108" s="216"/>
      <c r="AK108" s="398" t="s">
        <v>494</v>
      </c>
      <c r="AL108" s="399">
        <f t="shared" ref="AL108:AL120" si="72">AL42-0.4*AL42</f>
        <v>619446.89999999991</v>
      </c>
      <c r="AM108" s="398" t="e">
        <f t="shared" si="69"/>
        <v>#VALUE!</v>
      </c>
      <c r="AN108" s="398">
        <f>35000</f>
        <v>35000</v>
      </c>
      <c r="AO108" s="402">
        <f t="shared" ref="AO108:AO113" si="73">462*12</f>
        <v>5544</v>
      </c>
      <c r="AP108" s="400" t="e">
        <f t="shared" si="70"/>
        <v>#VALUE!</v>
      </c>
      <c r="AQ108" s="403" t="e">
        <f t="shared" si="71"/>
        <v>#VALUE!</v>
      </c>
      <c r="AR108" s="394"/>
    </row>
    <row r="109" spans="36:44" ht="15.75">
      <c r="AJ109" s="216"/>
      <c r="AK109" s="398" t="s">
        <v>467</v>
      </c>
      <c r="AL109" s="399">
        <f t="shared" si="72"/>
        <v>477180.6</v>
      </c>
      <c r="AM109" s="398" t="e">
        <f t="shared" si="69"/>
        <v>#VALUE!</v>
      </c>
      <c r="AN109" s="398">
        <f>35000</f>
        <v>35000</v>
      </c>
      <c r="AO109" s="402">
        <f t="shared" si="73"/>
        <v>5544</v>
      </c>
      <c r="AP109" s="400" t="e">
        <f t="shared" si="70"/>
        <v>#VALUE!</v>
      </c>
      <c r="AQ109" s="403" t="e">
        <f t="shared" si="71"/>
        <v>#VALUE!</v>
      </c>
      <c r="AR109" s="394"/>
    </row>
    <row r="110" spans="36:44" ht="15.75">
      <c r="AJ110" s="216"/>
      <c r="AK110" s="398" t="s">
        <v>468</v>
      </c>
      <c r="AL110" s="399">
        <f t="shared" si="72"/>
        <v>642182.39999999991</v>
      </c>
      <c r="AM110" s="398" t="e">
        <f t="shared" si="69"/>
        <v>#VALUE!</v>
      </c>
      <c r="AN110" s="398">
        <f>35000</f>
        <v>35000</v>
      </c>
      <c r="AO110" s="402">
        <f t="shared" si="73"/>
        <v>5544</v>
      </c>
      <c r="AP110" s="400" t="e">
        <f t="shared" si="70"/>
        <v>#VALUE!</v>
      </c>
      <c r="AQ110" s="403" t="e">
        <f t="shared" si="71"/>
        <v>#VALUE!</v>
      </c>
      <c r="AR110" s="394"/>
    </row>
    <row r="111" spans="36:44" ht="15.75">
      <c r="AJ111" s="216"/>
      <c r="AK111" s="398" t="s">
        <v>182</v>
      </c>
      <c r="AL111" s="399">
        <f t="shared" si="72"/>
        <v>1333800</v>
      </c>
      <c r="AM111" s="398" t="e">
        <f t="shared" si="69"/>
        <v>#VALUE!</v>
      </c>
      <c r="AN111" s="398">
        <f>35000</f>
        <v>35000</v>
      </c>
      <c r="AO111" s="402">
        <f t="shared" si="73"/>
        <v>5544</v>
      </c>
      <c r="AP111" s="400" t="e">
        <f t="shared" si="70"/>
        <v>#VALUE!</v>
      </c>
      <c r="AQ111" s="403" t="e">
        <f t="shared" si="71"/>
        <v>#VALUE!</v>
      </c>
      <c r="AR111" s="394"/>
    </row>
    <row r="112" spans="36:44" ht="15.75">
      <c r="AJ112" s="216"/>
      <c r="AK112" s="398" t="s">
        <v>183</v>
      </c>
      <c r="AL112" s="399">
        <f t="shared" si="72"/>
        <v>2100000</v>
      </c>
      <c r="AM112" s="398" t="e">
        <f t="shared" si="69"/>
        <v>#VALUE!</v>
      </c>
      <c r="AN112" s="398">
        <f>35000</f>
        <v>35000</v>
      </c>
      <c r="AO112" s="402">
        <f t="shared" si="73"/>
        <v>5544</v>
      </c>
      <c r="AP112" s="400" t="e">
        <f t="shared" si="70"/>
        <v>#VALUE!</v>
      </c>
      <c r="AQ112" s="403" t="e">
        <f t="shared" si="71"/>
        <v>#VALUE!</v>
      </c>
      <c r="AR112" s="394"/>
    </row>
    <row r="113" spans="36:44" ht="15.75">
      <c r="AJ113" s="216"/>
      <c r="AK113" s="398" t="s">
        <v>469</v>
      </c>
      <c r="AL113" s="399">
        <f t="shared" si="72"/>
        <v>960000</v>
      </c>
      <c r="AM113" s="398" t="e">
        <f t="shared" si="69"/>
        <v>#VALUE!</v>
      </c>
      <c r="AN113" s="398">
        <f>35000</f>
        <v>35000</v>
      </c>
      <c r="AO113" s="402">
        <f t="shared" si="73"/>
        <v>5544</v>
      </c>
      <c r="AP113" s="400" t="e">
        <f t="shared" si="70"/>
        <v>#VALUE!</v>
      </c>
      <c r="AQ113" s="403" t="e">
        <f t="shared" si="71"/>
        <v>#VALUE!</v>
      </c>
      <c r="AR113" s="394"/>
    </row>
    <row r="114" spans="36:44" ht="15.75">
      <c r="AJ114" s="248" t="s">
        <v>173</v>
      </c>
      <c r="AK114" s="398" t="s">
        <v>495</v>
      </c>
      <c r="AL114" s="399" t="e">
        <f t="shared" si="72"/>
        <v>#VALUE!</v>
      </c>
      <c r="AM114" s="398" t="e">
        <f t="shared" ref="AM114:AM120" si="74">50000*$E$35*($C$26/$E$35)</f>
        <v>#VALUE!</v>
      </c>
      <c r="AN114" s="398" t="e">
        <f t="shared" ref="AN114:AO120" si="75">(AN107/12)*$C$26</f>
        <v>#VALUE!</v>
      </c>
      <c r="AO114" s="402" t="e">
        <f t="shared" si="75"/>
        <v>#VALUE!</v>
      </c>
      <c r="AP114" s="400" t="e">
        <f t="shared" si="70"/>
        <v>#VALUE!</v>
      </c>
      <c r="AQ114" s="403" t="e">
        <f t="shared" si="71"/>
        <v>#VALUE!</v>
      </c>
      <c r="AR114" s="394"/>
    </row>
    <row r="115" spans="36:44" ht="15.75">
      <c r="AK115" s="398" t="s">
        <v>494</v>
      </c>
      <c r="AL115" s="399" t="e">
        <f t="shared" si="72"/>
        <v>#VALUE!</v>
      </c>
      <c r="AM115" s="398" t="e">
        <f t="shared" si="74"/>
        <v>#VALUE!</v>
      </c>
      <c r="AN115" s="398" t="e">
        <f t="shared" si="75"/>
        <v>#VALUE!</v>
      </c>
      <c r="AO115" s="402" t="e">
        <f t="shared" si="75"/>
        <v>#VALUE!</v>
      </c>
      <c r="AP115" s="400" t="e">
        <f t="shared" si="70"/>
        <v>#VALUE!</v>
      </c>
      <c r="AQ115" s="403" t="e">
        <f t="shared" si="71"/>
        <v>#VALUE!</v>
      </c>
      <c r="AR115" s="394"/>
    </row>
    <row r="116" spans="36:44" ht="15.75">
      <c r="AK116" s="398" t="s">
        <v>467</v>
      </c>
      <c r="AL116" s="399" t="e">
        <f t="shared" si="72"/>
        <v>#VALUE!</v>
      </c>
      <c r="AM116" s="398" t="e">
        <f t="shared" si="74"/>
        <v>#VALUE!</v>
      </c>
      <c r="AN116" s="398" t="e">
        <f t="shared" si="75"/>
        <v>#VALUE!</v>
      </c>
      <c r="AO116" s="402" t="e">
        <f t="shared" si="75"/>
        <v>#VALUE!</v>
      </c>
      <c r="AP116" s="400" t="e">
        <f t="shared" si="70"/>
        <v>#VALUE!</v>
      </c>
      <c r="AQ116" s="403" t="e">
        <f t="shared" si="71"/>
        <v>#VALUE!</v>
      </c>
      <c r="AR116" s="394"/>
    </row>
    <row r="117" spans="36:44" ht="15.75">
      <c r="AK117" s="398" t="s">
        <v>468</v>
      </c>
      <c r="AL117" s="399" t="e">
        <f t="shared" si="72"/>
        <v>#VALUE!</v>
      </c>
      <c r="AM117" s="398" t="e">
        <f t="shared" si="74"/>
        <v>#VALUE!</v>
      </c>
      <c r="AN117" s="398" t="e">
        <f t="shared" si="75"/>
        <v>#VALUE!</v>
      </c>
      <c r="AO117" s="402" t="e">
        <f t="shared" si="75"/>
        <v>#VALUE!</v>
      </c>
      <c r="AP117" s="400" t="e">
        <f t="shared" si="70"/>
        <v>#VALUE!</v>
      </c>
      <c r="AQ117" s="403" t="e">
        <f t="shared" si="71"/>
        <v>#VALUE!</v>
      </c>
      <c r="AR117" s="394"/>
    </row>
    <row r="118" spans="36:44" ht="15.75">
      <c r="AK118" s="398" t="s">
        <v>182</v>
      </c>
      <c r="AL118" s="399" t="e">
        <f t="shared" si="72"/>
        <v>#VALUE!</v>
      </c>
      <c r="AM118" s="398" t="e">
        <f t="shared" si="74"/>
        <v>#VALUE!</v>
      </c>
      <c r="AN118" s="398" t="e">
        <f t="shared" si="75"/>
        <v>#VALUE!</v>
      </c>
      <c r="AO118" s="402" t="e">
        <f t="shared" si="75"/>
        <v>#VALUE!</v>
      </c>
      <c r="AP118" s="400" t="e">
        <f t="shared" si="70"/>
        <v>#VALUE!</v>
      </c>
      <c r="AQ118" s="403" t="e">
        <f t="shared" si="71"/>
        <v>#VALUE!</v>
      </c>
      <c r="AR118" s="394"/>
    </row>
    <row r="119" spans="36:44" ht="15.75">
      <c r="AK119" s="398" t="s">
        <v>183</v>
      </c>
      <c r="AL119" s="399" t="e">
        <f t="shared" si="72"/>
        <v>#VALUE!</v>
      </c>
      <c r="AM119" s="398" t="e">
        <f t="shared" si="74"/>
        <v>#VALUE!</v>
      </c>
      <c r="AN119" s="398" t="e">
        <f t="shared" si="75"/>
        <v>#VALUE!</v>
      </c>
      <c r="AO119" s="402" t="e">
        <f t="shared" si="75"/>
        <v>#VALUE!</v>
      </c>
      <c r="AP119" s="400" t="e">
        <f t="shared" si="70"/>
        <v>#VALUE!</v>
      </c>
      <c r="AQ119" s="403" t="e">
        <f t="shared" si="71"/>
        <v>#VALUE!</v>
      </c>
      <c r="AR119" s="394"/>
    </row>
    <row r="120" spans="36:44" ht="15.75">
      <c r="AK120" s="398" t="s">
        <v>469</v>
      </c>
      <c r="AL120" s="399" t="e">
        <f t="shared" si="72"/>
        <v>#VALUE!</v>
      </c>
      <c r="AM120" s="398" t="e">
        <f t="shared" si="74"/>
        <v>#VALUE!</v>
      </c>
      <c r="AN120" s="398" t="e">
        <f t="shared" si="75"/>
        <v>#VALUE!</v>
      </c>
      <c r="AO120" s="402" t="e">
        <f t="shared" si="75"/>
        <v>#VALUE!</v>
      </c>
      <c r="AP120" s="400" t="e">
        <f t="shared" si="70"/>
        <v>#VALUE!</v>
      </c>
      <c r="AQ120" s="403" t="e">
        <f t="shared" si="71"/>
        <v>#VALUE!</v>
      </c>
      <c r="AR120" s="394"/>
    </row>
    <row r="121" spans="36:44" ht="15.75">
      <c r="AK121" s="394"/>
      <c r="AL121" s="404"/>
      <c r="AM121" s="394"/>
      <c r="AN121" s="394"/>
      <c r="AO121" s="394"/>
      <c r="AP121" s="394"/>
      <c r="AQ121" s="394"/>
      <c r="AR121" s="394"/>
    </row>
    <row r="122" spans="36:44" ht="15.75">
      <c r="AK122" s="398" t="s">
        <v>192</v>
      </c>
      <c r="AL122" s="398" t="s">
        <v>472</v>
      </c>
      <c r="AM122" s="398" t="s">
        <v>172</v>
      </c>
      <c r="AN122" s="395"/>
      <c r="AO122" s="394"/>
      <c r="AP122" s="394"/>
      <c r="AQ122" s="394"/>
      <c r="AR122" s="394"/>
    </row>
    <row r="123" spans="36:44" ht="15.75">
      <c r="AJ123" s="247" t="s">
        <v>174</v>
      </c>
      <c r="AK123" s="398" t="s">
        <v>183</v>
      </c>
      <c r="AL123" s="398" t="s">
        <v>182</v>
      </c>
      <c r="AM123" s="398" t="s">
        <v>467</v>
      </c>
      <c r="AN123" s="395"/>
      <c r="AO123" s="394"/>
      <c r="AP123" s="394"/>
      <c r="AQ123" s="394"/>
      <c r="AR123" s="394"/>
    </row>
    <row r="124" spans="36:44" ht="15.75">
      <c r="AJ124" s="247" t="s">
        <v>477</v>
      </c>
      <c r="AK124" s="398" t="s">
        <v>469</v>
      </c>
      <c r="AL124" s="398" t="s">
        <v>494</v>
      </c>
      <c r="AM124" s="398" t="s">
        <v>467</v>
      </c>
      <c r="AN124" s="395"/>
      <c r="AO124" s="394"/>
      <c r="AP124" s="405"/>
      <c r="AQ124" s="394"/>
      <c r="AR124" s="394"/>
    </row>
    <row r="125" spans="36:44" ht="15.75">
      <c r="AK125" s="395"/>
      <c r="AL125" s="395"/>
      <c r="AM125" s="395"/>
      <c r="AN125" s="395"/>
      <c r="AO125" s="394"/>
      <c r="AP125" s="394"/>
      <c r="AQ125" s="394"/>
      <c r="AR125" s="394"/>
    </row>
    <row r="126" spans="36:44" ht="15.75">
      <c r="AK126" s="406" t="s">
        <v>473</v>
      </c>
      <c r="AL126" s="407" t="s">
        <v>192</v>
      </c>
      <c r="AM126" s="407" t="s">
        <v>171</v>
      </c>
      <c r="AN126" s="408" t="s">
        <v>172</v>
      </c>
      <c r="AO126" s="394"/>
      <c r="AP126" s="394"/>
      <c r="AQ126" s="394"/>
      <c r="AR126" s="394"/>
    </row>
    <row r="127" spans="36:44" ht="15.75">
      <c r="AK127" s="409" t="s">
        <v>192</v>
      </c>
      <c r="AL127" s="410" t="s">
        <v>474</v>
      </c>
      <c r="AM127" s="410" t="s">
        <v>475</v>
      </c>
      <c r="AN127" s="411" t="s">
        <v>476</v>
      </c>
      <c r="AO127" s="394"/>
      <c r="AP127" s="394"/>
      <c r="AQ127" s="394"/>
      <c r="AR127" s="394"/>
    </row>
    <row r="128" spans="36:44" ht="15.75">
      <c r="AK128" s="409" t="s">
        <v>171</v>
      </c>
      <c r="AL128" s="410" t="s">
        <v>182</v>
      </c>
      <c r="AM128" s="410" t="s">
        <v>181</v>
      </c>
      <c r="AN128" s="411"/>
      <c r="AO128" s="394"/>
      <c r="AP128" s="394"/>
      <c r="AQ128" s="394"/>
      <c r="AR128" s="394"/>
    </row>
    <row r="129" spans="36:44" ht="15.75">
      <c r="AK129" s="409" t="s">
        <v>172</v>
      </c>
      <c r="AL129" s="410" t="s">
        <v>183</v>
      </c>
      <c r="AM129" s="410"/>
      <c r="AN129" s="411"/>
      <c r="AO129" s="394"/>
      <c r="AP129" s="394"/>
      <c r="AQ129" s="394"/>
      <c r="AR129" s="394"/>
    </row>
    <row r="130" spans="36:44" ht="15.75">
      <c r="AK130" s="412"/>
      <c r="AL130" s="413" t="s">
        <v>184</v>
      </c>
      <c r="AM130" s="413"/>
      <c r="AN130" s="414"/>
      <c r="AO130" s="394"/>
      <c r="AP130" s="394"/>
      <c r="AQ130" s="394"/>
      <c r="AR130" s="394"/>
    </row>
    <row r="131" spans="36:44" ht="15.75">
      <c r="AK131" s="398" t="s">
        <v>479</v>
      </c>
      <c r="AL131" s="403" t="e">
        <f>(AP107+AP111+AP112+AP113)/4</f>
        <v>#VALUE!</v>
      </c>
      <c r="AM131" s="403" t="e">
        <f>(AP108+AP110)/2</f>
        <v>#VALUE!</v>
      </c>
      <c r="AN131" s="403" t="e">
        <f>AP109</f>
        <v>#VALUE!</v>
      </c>
      <c r="AO131" s="394"/>
      <c r="AP131" s="394"/>
      <c r="AQ131" s="394"/>
      <c r="AR131" s="394"/>
    </row>
    <row r="132" spans="36:44" ht="15.75">
      <c r="AK132" s="394"/>
      <c r="AL132" s="394"/>
      <c r="AM132" s="394"/>
      <c r="AN132" s="394"/>
      <c r="AO132" s="394"/>
      <c r="AP132" s="394"/>
      <c r="AQ132" s="394"/>
      <c r="AR132" s="394"/>
    </row>
    <row r="133" spans="36:44" ht="15.75">
      <c r="AJ133" s="238" t="s">
        <v>172</v>
      </c>
      <c r="AK133" s="410" t="s">
        <v>171</v>
      </c>
      <c r="AL133" s="410" t="s">
        <v>192</v>
      </c>
      <c r="AM133" s="394"/>
      <c r="AN133" s="394"/>
      <c r="AO133" s="394"/>
      <c r="AP133" s="394"/>
      <c r="AQ133" s="394"/>
      <c r="AR133" s="394"/>
    </row>
    <row r="134" spans="36:44" ht="15.75">
      <c r="AJ134" s="259" t="e">
        <f>IF(C24=AJ123,IF(C25=AJ114,INDEX(AK114:AQ120,MATCH(AM123,AK114:AK120,0),7),INDEX(AK107:AQ113,MATCH(AM123,AK107:AK113,0),7)),IF(C25=AJ114,INDEX(AK114:AQ120,MATCH(AM124,AK114:AK120,0),7),INDEX(AK107:AQ113,MATCH(AM124,AK107:AK113,0),7)))</f>
        <v>#VALUE!</v>
      </c>
      <c r="AK134" s="403" t="e">
        <f>IF(C24=AJ123,IF(C25=AJ114,INDEX(AK114:AQ120,MATCH(AL123,AK114:AK120,0),7),INDEX(AK107:AQ113,MATCH(AL123,AK107:AK113,0),7)),IF(C25=AJ114,INDEX(AK114:AQ120,MATCH(AL124,AK114:AK120,0),7),INDEX(AK107:AQ113,MATCH(AL124,AK107:AK113,0),7)))</f>
        <v>#VALUE!</v>
      </c>
      <c r="AL134" s="403" t="e">
        <f>IF(C24=AJ123,IF(C25=AJ114,INDEX(AK114:AQ120,MATCH(AK123,AK114:AK120,0),7),INDEX(AK107:AQ113,MATCH(AK123,AK107:AK113,0),7)),IF(C25=AJ114,INDEX(AK114:AQ120,MATCH(AK124,AK114:AK120,0),7),INDEX(AK107:AQ113,MATCH(AK124,AK107:AK113,0),7)))</f>
        <v>#VALUE!</v>
      </c>
      <c r="AM134" s="394"/>
      <c r="AN134" s="394"/>
      <c r="AO134" s="394"/>
      <c r="AP134" s="394"/>
      <c r="AQ134" s="394"/>
      <c r="AR134" s="394"/>
    </row>
    <row r="135" spans="36:44" ht="15.75">
      <c r="AK135" s="394"/>
      <c r="AL135" s="394"/>
      <c r="AM135" s="394"/>
      <c r="AN135" s="394"/>
      <c r="AO135" s="394"/>
      <c r="AP135" s="394"/>
      <c r="AQ135" s="394"/>
      <c r="AR135" s="394"/>
    </row>
  </sheetData>
  <mergeCells count="149">
    <mergeCell ref="B80:B82"/>
    <mergeCell ref="B83:B85"/>
    <mergeCell ref="AT48:AT50"/>
    <mergeCell ref="E72:F72"/>
    <mergeCell ref="B74:B76"/>
    <mergeCell ref="B77:B79"/>
    <mergeCell ref="C74:D74"/>
    <mergeCell ref="E74:F74"/>
    <mergeCell ref="C77:D77"/>
    <mergeCell ref="E77:F77"/>
    <mergeCell ref="D66:F66"/>
    <mergeCell ref="D67:F67"/>
    <mergeCell ref="D68:F68"/>
    <mergeCell ref="B61:B68"/>
    <mergeCell ref="D58:F58"/>
    <mergeCell ref="D59:F59"/>
    <mergeCell ref="D60:F60"/>
    <mergeCell ref="D61:F61"/>
    <mergeCell ref="D65:F65"/>
    <mergeCell ref="C69:F69"/>
    <mergeCell ref="C70:F70"/>
    <mergeCell ref="E71:F71"/>
    <mergeCell ref="J60:L60"/>
    <mergeCell ref="J68:M68"/>
    <mergeCell ref="J38:L38"/>
    <mergeCell ref="N38:P38"/>
    <mergeCell ref="O40:P40"/>
    <mergeCell ref="O41:P41"/>
    <mergeCell ref="O42:P42"/>
    <mergeCell ref="K39:L39"/>
    <mergeCell ref="O39:P39"/>
    <mergeCell ref="O50:P50"/>
    <mergeCell ref="K56:L56"/>
    <mergeCell ref="K55:L55"/>
    <mergeCell ref="J4:K4"/>
    <mergeCell ref="J9:K9"/>
    <mergeCell ref="J14:P14"/>
    <mergeCell ref="N15:O15"/>
    <mergeCell ref="L15:M15"/>
    <mergeCell ref="J15:K15"/>
    <mergeCell ref="J21:K21"/>
    <mergeCell ref="L21:M21"/>
    <mergeCell ref="N21:O21"/>
    <mergeCell ref="B14:B16"/>
    <mergeCell ref="C21:E21"/>
    <mergeCell ref="C22:E22"/>
    <mergeCell ref="C23:E23"/>
    <mergeCell ref="B38:F38"/>
    <mergeCell ref="C24:E24"/>
    <mergeCell ref="C25:E25"/>
    <mergeCell ref="C31:D31"/>
    <mergeCell ref="C32:D32"/>
    <mergeCell ref="C33:D33"/>
    <mergeCell ref="B27:B29"/>
    <mergeCell ref="B31:B32"/>
    <mergeCell ref="B33:B34"/>
    <mergeCell ref="C34:D34"/>
    <mergeCell ref="C35:D35"/>
    <mergeCell ref="C26:E26"/>
    <mergeCell ref="C30:E30"/>
    <mergeCell ref="AW65:BI65"/>
    <mergeCell ref="AX50:BA50"/>
    <mergeCell ref="BB50:BE50"/>
    <mergeCell ref="BF50:BI50"/>
    <mergeCell ref="AX58:BA58"/>
    <mergeCell ref="BB58:BE58"/>
    <mergeCell ref="BF58:BI58"/>
    <mergeCell ref="AX66:BA66"/>
    <mergeCell ref="BB66:BE66"/>
    <mergeCell ref="BF66:BI66"/>
    <mergeCell ref="AW10:BA10"/>
    <mergeCell ref="AW17:BA17"/>
    <mergeCell ref="AW23:BA23"/>
    <mergeCell ref="AW30:BA30"/>
    <mergeCell ref="AT15:AU15"/>
    <mergeCell ref="AW49:BI49"/>
    <mergeCell ref="AW57:BI57"/>
    <mergeCell ref="J27:N27"/>
    <mergeCell ref="J20:P20"/>
    <mergeCell ref="AW42:AW43"/>
    <mergeCell ref="AX42:BA42"/>
    <mergeCell ref="BB42:BE42"/>
    <mergeCell ref="BF42:BI42"/>
    <mergeCell ref="AW41:BI41"/>
    <mergeCell ref="AK37:AP37"/>
    <mergeCell ref="O43:P43"/>
    <mergeCell ref="O44:P44"/>
    <mergeCell ref="R38:T38"/>
    <mergeCell ref="S40:T40"/>
    <mergeCell ref="S41:T41"/>
    <mergeCell ref="J28:J29"/>
    <mergeCell ref="J30:J31"/>
    <mergeCell ref="J32:J33"/>
    <mergeCell ref="J34:J35"/>
    <mergeCell ref="C3:E3"/>
    <mergeCell ref="C4:E4"/>
    <mergeCell ref="C5:E5"/>
    <mergeCell ref="C6:E6"/>
    <mergeCell ref="C7:E7"/>
    <mergeCell ref="B2:E2"/>
    <mergeCell ref="B11:B13"/>
    <mergeCell ref="C8:E8"/>
    <mergeCell ref="C9:E9"/>
    <mergeCell ref="C10:E10"/>
    <mergeCell ref="E73:F73"/>
    <mergeCell ref="AK103:AP103"/>
    <mergeCell ref="K40:L40"/>
    <mergeCell ref="K41:L41"/>
    <mergeCell ref="K42:L42"/>
    <mergeCell ref="K43:L43"/>
    <mergeCell ref="K44:L44"/>
    <mergeCell ref="O47:P47"/>
    <mergeCell ref="O48:P48"/>
    <mergeCell ref="S42:T42"/>
    <mergeCell ref="S43:T43"/>
    <mergeCell ref="S44:T44"/>
    <mergeCell ref="K45:L45"/>
    <mergeCell ref="S45:T45"/>
    <mergeCell ref="O59:P59"/>
    <mergeCell ref="K50:L50"/>
    <mergeCell ref="AK70:AP70"/>
    <mergeCell ref="K57:L57"/>
    <mergeCell ref="K66:L66"/>
    <mergeCell ref="K63:L63"/>
    <mergeCell ref="K61:L61"/>
    <mergeCell ref="K62:L62"/>
    <mergeCell ref="K64:L64"/>
    <mergeCell ref="K58:L58"/>
    <mergeCell ref="S39:T39"/>
    <mergeCell ref="K47:L47"/>
    <mergeCell ref="K48:L48"/>
    <mergeCell ref="O45:P45"/>
    <mergeCell ref="O46:P46"/>
    <mergeCell ref="D51:F51"/>
    <mergeCell ref="D54:F54"/>
    <mergeCell ref="D57:F57"/>
    <mergeCell ref="B51:B60"/>
    <mergeCell ref="K65:L65"/>
    <mergeCell ref="J52:L52"/>
    <mergeCell ref="K54:L54"/>
    <mergeCell ref="K53:L53"/>
    <mergeCell ref="S50:T50"/>
    <mergeCell ref="K46:L46"/>
    <mergeCell ref="K49:L49"/>
    <mergeCell ref="O49:P49"/>
    <mergeCell ref="S46:T46"/>
    <mergeCell ref="S49:T49"/>
    <mergeCell ref="S47:T47"/>
    <mergeCell ref="S48:T48"/>
  </mergeCells>
  <phoneticPr fontId="19" type="noConversion"/>
  <conditionalFormatting sqref="E31">
    <cfRule type="expression" dxfId="70" priority="130">
      <formula>C30=$AK$70</formula>
    </cfRule>
  </conditionalFormatting>
  <conditionalFormatting sqref="E32">
    <cfRule type="expression" dxfId="69" priority="131">
      <formula>C30=$AK$70</formula>
    </cfRule>
  </conditionalFormatting>
  <conditionalFormatting sqref="E33">
    <cfRule type="expression" dxfId="68" priority="132">
      <formula>OR(C30=$AK$37,C30=AK103)</formula>
    </cfRule>
  </conditionalFormatting>
  <conditionalFormatting sqref="E34">
    <cfRule type="expression" dxfId="67" priority="133">
      <formula>OR(C30=$AK$37,C30=AK103)</formula>
    </cfRule>
  </conditionalFormatting>
  <conditionalFormatting sqref="D61">
    <cfRule type="expression" dxfId="66" priority="135">
      <formula>OR(C30=$AK$37,C30=AK103)</formula>
    </cfRule>
  </conditionalFormatting>
  <conditionalFormatting sqref="D63">
    <cfRule type="expression" dxfId="65" priority="137">
      <formula>OR(C30=$AK$37,C30=AK103)</formula>
    </cfRule>
  </conditionalFormatting>
  <conditionalFormatting sqref="D64">
    <cfRule type="expression" dxfId="64" priority="138">
      <formula>OR(C30=$AK$37,C30=AK103)</formula>
    </cfRule>
  </conditionalFormatting>
  <conditionalFormatting sqref="D57:F57">
    <cfRule type="expression" dxfId="63" priority="141">
      <formula>C30=$AK$70</formula>
    </cfRule>
  </conditionalFormatting>
  <conditionalFormatting sqref="D58">
    <cfRule type="expression" dxfId="62" priority="142">
      <formula>C30=$AK$70</formula>
    </cfRule>
  </conditionalFormatting>
  <conditionalFormatting sqref="D59">
    <cfRule type="expression" dxfId="61" priority="143">
      <formula>C30=$AK$70</formula>
    </cfRule>
  </conditionalFormatting>
  <conditionalFormatting sqref="D60">
    <cfRule type="expression" dxfId="60" priority="144">
      <formula>C30=$AK$70</formula>
    </cfRule>
  </conditionalFormatting>
  <conditionalFormatting sqref="C26:E26">
    <cfRule type="expression" dxfId="59" priority="98">
      <formula>$C$25=$AJ$41</formula>
    </cfRule>
  </conditionalFormatting>
  <conditionalFormatting sqref="E35">
    <cfRule type="expression" dxfId="58" priority="97">
      <formula>OR($C$30=AK37,C30=AK70)</formula>
    </cfRule>
  </conditionalFormatting>
  <conditionalFormatting sqref="K53:L53">
    <cfRule type="expression" dxfId="57" priority="89">
      <formula>C30=AK70</formula>
    </cfRule>
  </conditionalFormatting>
  <conditionalFormatting sqref="K56:L56">
    <cfRule type="expression" dxfId="56" priority="86">
      <formula>C30=AK70</formula>
    </cfRule>
  </conditionalFormatting>
  <conditionalFormatting sqref="K57">
    <cfRule type="expression" dxfId="55" priority="85">
      <formula>C30=AK70</formula>
    </cfRule>
  </conditionalFormatting>
  <conditionalFormatting sqref="K61">
    <cfRule type="expression" dxfId="54" priority="83">
      <formula>C30=AK70</formula>
    </cfRule>
  </conditionalFormatting>
  <conditionalFormatting sqref="K62">
    <cfRule type="expression" dxfId="53" priority="82">
      <formula>C30=AK70</formula>
    </cfRule>
  </conditionalFormatting>
  <conditionalFormatting sqref="K64">
    <cfRule type="expression" dxfId="52" priority="80">
      <formula>C30=AK70</formula>
    </cfRule>
  </conditionalFormatting>
  <conditionalFormatting sqref="K69">
    <cfRule type="expression" dxfId="51" priority="73">
      <formula>OR(C30=$AK$37,C30=AK103)</formula>
    </cfRule>
  </conditionalFormatting>
  <conditionalFormatting sqref="L69">
    <cfRule type="expression" dxfId="50" priority="72">
      <formula>OR(C30=$AK$37,C30=AK103)</formula>
    </cfRule>
  </conditionalFormatting>
  <conditionalFormatting sqref="M69">
    <cfRule type="expression" dxfId="49" priority="71">
      <formula>OR(C30=$AK$37,C30=AK103)</formula>
    </cfRule>
  </conditionalFormatting>
  <conditionalFormatting sqref="K70">
    <cfRule type="expression" dxfId="48" priority="70">
      <formula>OR(C30=$AK$37,C30=AK103)</formula>
    </cfRule>
  </conditionalFormatting>
  <conditionalFormatting sqref="L70">
    <cfRule type="expression" dxfId="47" priority="69">
      <formula>OR(C30=$AK$37,C30=AK103)</formula>
    </cfRule>
  </conditionalFormatting>
  <conditionalFormatting sqref="M70">
    <cfRule type="expression" dxfId="46" priority="68">
      <formula>OR(C30=$AK$37,C30=AK103)</formula>
    </cfRule>
  </conditionalFormatting>
  <conditionalFormatting sqref="K71">
    <cfRule type="expression" dxfId="45" priority="67">
      <formula>OR(C30=$AK$37,C30=AK103)</formula>
    </cfRule>
  </conditionalFormatting>
  <conditionalFormatting sqref="L71">
    <cfRule type="expression" dxfId="44" priority="66">
      <formula>OR(C30=$AK$37,C30=AK103)</formula>
    </cfRule>
  </conditionalFormatting>
  <conditionalFormatting sqref="M71">
    <cfRule type="expression" dxfId="43" priority="65">
      <formula>OR(C30=$AK$37,C30=AK103)</formula>
    </cfRule>
  </conditionalFormatting>
  <conditionalFormatting sqref="L73">
    <cfRule type="expression" dxfId="42" priority="63">
      <formula>OR(C30=$AK$37,C30=AK103)</formula>
    </cfRule>
  </conditionalFormatting>
  <conditionalFormatting sqref="M73">
    <cfRule type="expression" dxfId="41" priority="62">
      <formula>OR(C30=$AK$37,C30=AK103)</formula>
    </cfRule>
  </conditionalFormatting>
  <conditionalFormatting sqref="K58">
    <cfRule type="expression" dxfId="40" priority="160">
      <formula>C30=AK70</formula>
    </cfRule>
  </conditionalFormatting>
  <conditionalFormatting sqref="K65">
    <cfRule type="expression" dxfId="39" priority="165">
      <formula>C30=AK70</formula>
    </cfRule>
  </conditionalFormatting>
  <conditionalFormatting sqref="K74">
    <cfRule type="expression" dxfId="38" priority="181">
      <formula>OR(C30=$AK$37,C30=AK103)</formula>
    </cfRule>
  </conditionalFormatting>
  <conditionalFormatting sqref="L74">
    <cfRule type="expression" dxfId="37" priority="182">
      <formula>OR(C30=$AK$37,C30=AK103)</formula>
    </cfRule>
  </conditionalFormatting>
  <conditionalFormatting sqref="M74">
    <cfRule type="expression" dxfId="36" priority="183">
      <formula>OR(C30=$AK$37,C30=AK103)</formula>
    </cfRule>
  </conditionalFormatting>
  <conditionalFormatting sqref="K66">
    <cfRule type="expression" dxfId="35" priority="210">
      <formula>C30=AK70</formula>
    </cfRule>
  </conditionalFormatting>
  <conditionalFormatting sqref="K75">
    <cfRule type="expression" dxfId="34" priority="211">
      <formula>OR(C30=$AK$37,C30=AK103)</formula>
    </cfRule>
  </conditionalFormatting>
  <conditionalFormatting sqref="L75">
    <cfRule type="expression" dxfId="33" priority="212">
      <formula>OR(C30=$AK$37,C30=AK103)</formula>
    </cfRule>
  </conditionalFormatting>
  <conditionalFormatting sqref="M75">
    <cfRule type="expression" dxfId="32" priority="213">
      <formula>OR(C30=$AK$37,C30=AK103)</formula>
    </cfRule>
  </conditionalFormatting>
  <conditionalFormatting sqref="K63:L63">
    <cfRule type="expression" dxfId="31" priority="60">
      <formula>C30=AK70</formula>
    </cfRule>
  </conditionalFormatting>
  <conditionalFormatting sqref="K55:L55">
    <cfRule type="expression" dxfId="30" priority="59">
      <formula>C30=AK70</formula>
    </cfRule>
  </conditionalFormatting>
  <conditionalFormatting sqref="K54:L54">
    <cfRule type="expression" dxfId="29" priority="58">
      <formula>C30=AK70</formula>
    </cfRule>
  </conditionalFormatting>
  <conditionalFormatting sqref="L72">
    <cfRule type="expression" dxfId="28" priority="50">
      <formula>OR(C30=$AK$37,C30=AK103)</formula>
    </cfRule>
  </conditionalFormatting>
  <conditionalFormatting sqref="M72">
    <cfRule type="expression" dxfId="27" priority="49">
      <formula>OR(C30=$AK$37,C30=AK103)</formula>
    </cfRule>
  </conditionalFormatting>
  <conditionalFormatting sqref="D54:F54">
    <cfRule type="expression" dxfId="26" priority="48">
      <formula>C30=$AK$70</formula>
    </cfRule>
  </conditionalFormatting>
  <conditionalFormatting sqref="D51:F51">
    <cfRule type="expression" dxfId="25" priority="47">
      <formula>C30=$AK$70</formula>
    </cfRule>
  </conditionalFormatting>
  <conditionalFormatting sqref="D65">
    <cfRule type="expression" dxfId="24" priority="219">
      <formula>OR(C30=$AK$37,C30=AK103)</formula>
    </cfRule>
  </conditionalFormatting>
  <conditionalFormatting sqref="D66">
    <cfRule type="expression" dxfId="23" priority="220">
      <formula>OR(C30=$AK$37,C30=AK103)</formula>
    </cfRule>
  </conditionalFormatting>
  <conditionalFormatting sqref="D67">
    <cfRule type="expression" dxfId="22" priority="304">
      <formula>OR(C30=$AK$37,C30=AK103)</formula>
    </cfRule>
  </conditionalFormatting>
  <conditionalFormatting sqref="D68">
    <cfRule type="expression" dxfId="21" priority="305">
      <formula>OR(C30=$AK$37,C30=AK103)</formula>
    </cfRule>
  </conditionalFormatting>
  <conditionalFormatting sqref="E64">
    <cfRule type="expression" dxfId="20" priority="306">
      <formula>OR(C30=$AK$37,C30=AK103)</formula>
    </cfRule>
  </conditionalFormatting>
  <conditionalFormatting sqref="F64">
    <cfRule type="expression" dxfId="19" priority="307">
      <formula>OR(C30=$AK$37,C30=AK103)</formula>
    </cfRule>
  </conditionalFormatting>
  <conditionalFormatting sqref="E63">
    <cfRule type="expression" dxfId="18" priority="308">
      <formula>OR(C30=$AK$37,C30=AK103)</formula>
    </cfRule>
  </conditionalFormatting>
  <conditionalFormatting sqref="F63">
    <cfRule type="expression" dxfId="17" priority="309">
      <formula>OR(C30=$AK$37,C30=AK103)</formula>
    </cfRule>
  </conditionalFormatting>
  <conditionalFormatting sqref="D56">
    <cfRule type="expression" dxfId="16" priority="25">
      <formula>C30=$AK$70</formula>
    </cfRule>
  </conditionalFormatting>
  <conditionalFormatting sqref="D55">
    <cfRule type="expression" dxfId="15" priority="28">
      <formula>C30=$AK$70</formula>
    </cfRule>
  </conditionalFormatting>
  <conditionalFormatting sqref="E55">
    <cfRule type="expression" dxfId="14" priority="27">
      <formula>C30=$AK$70</formula>
    </cfRule>
  </conditionalFormatting>
  <conditionalFormatting sqref="F55">
    <cfRule type="expression" dxfId="13" priority="26">
      <formula>C30=$AK$70</formula>
    </cfRule>
  </conditionalFormatting>
  <conditionalFormatting sqref="F56">
    <cfRule type="expression" dxfId="12" priority="23">
      <formula>C30=$AK$70</formula>
    </cfRule>
  </conditionalFormatting>
  <conditionalFormatting sqref="D53">
    <cfRule type="expression" dxfId="11" priority="31">
      <formula>C30=$AK$70</formula>
    </cfRule>
  </conditionalFormatting>
  <conditionalFormatting sqref="E53">
    <cfRule type="expression" dxfId="10" priority="30">
      <formula>C30=$AK$70</formula>
    </cfRule>
  </conditionalFormatting>
  <conditionalFormatting sqref="F53">
    <cfRule type="expression" dxfId="9" priority="29">
      <formula>C30=$AK$70</formula>
    </cfRule>
  </conditionalFormatting>
  <conditionalFormatting sqref="E56">
    <cfRule type="expression" dxfId="8" priority="24">
      <formula>C30=$AK$70</formula>
    </cfRule>
  </conditionalFormatting>
  <conditionalFormatting sqref="D52">
    <cfRule type="expression" dxfId="7" priority="8">
      <formula>C30=AK70</formula>
    </cfRule>
  </conditionalFormatting>
  <conditionalFormatting sqref="E52">
    <cfRule type="expression" dxfId="6" priority="7">
      <formula>C30=AK70</formula>
    </cfRule>
  </conditionalFormatting>
  <conditionalFormatting sqref="F52">
    <cfRule type="expression" dxfId="5" priority="6">
      <formula>C30=AK70</formula>
    </cfRule>
  </conditionalFormatting>
  <conditionalFormatting sqref="D62">
    <cfRule type="expression" dxfId="4" priority="5">
      <formula>OR(C30=$AK$37,C30=AK103)</formula>
    </cfRule>
  </conditionalFormatting>
  <conditionalFormatting sqref="E62">
    <cfRule type="expression" dxfId="3" priority="4">
      <formula>OR(C30=$AK$37,C30=AK103)</formula>
    </cfRule>
  </conditionalFormatting>
  <conditionalFormatting sqref="F62">
    <cfRule type="expression" dxfId="2" priority="3">
      <formula>OR(C30=$AK$37,C30=AK103)</formula>
    </cfRule>
  </conditionalFormatting>
  <conditionalFormatting sqref="K72">
    <cfRule type="expression" dxfId="1" priority="2">
      <formula>OR(C30=$AK$37,C30=AK103)</formula>
    </cfRule>
  </conditionalFormatting>
  <conditionalFormatting sqref="K73">
    <cfRule type="expression" dxfId="0" priority="1">
      <formula>OR(C30=$AK$37,C30=AK103)</formula>
    </cfRule>
  </conditionalFormatting>
  <dataValidations count="9">
    <dataValidation showInputMessage="1" showErrorMessage="1" sqref="C13:E13 C16:E16"/>
    <dataValidation type="list" allowBlank="1" showInputMessage="1" showErrorMessage="1" sqref="C24:E24 E34 E32">
      <formula1>"Cheapest, Highest Rated "</formula1>
    </dataValidation>
    <dataValidation type="list" allowBlank="1" showInputMessage="1" showErrorMessage="1" sqref="C25">
      <formula1>"EV Leasing , EV Purchasing "</formula1>
    </dataValidation>
    <dataValidation type="whole" allowBlank="1" showInputMessage="1" showErrorMessage="1" sqref="C23">
      <formula1>0</formula1>
      <formula2>B33</formula2>
    </dataValidation>
    <dataValidation type="list" allowBlank="1" showInputMessage="1" showErrorMessage="1" sqref="C30:E30">
      <formula1>"Battery Charging with purchased battery, Battery Swapping, Battery Charging with leased battery"</formula1>
    </dataValidation>
    <dataValidation type="custom" allowBlank="1" showInputMessage="1" showErrorMessage="1" sqref="C26:E26">
      <formula1>C25=AJ48</formula1>
    </dataValidation>
    <dataValidation type="custom" allowBlank="1" showInputMessage="1" showErrorMessage="1" sqref="E33">
      <formula1>C30=AK70</formula1>
    </dataValidation>
    <dataValidation type="custom" allowBlank="1" showInputMessage="1" showErrorMessage="1" sqref="E31">
      <formula1>C30&lt;&gt;AK70</formula1>
    </dataValidation>
    <dataValidation type="custom" allowBlank="1" showInputMessage="1" showErrorMessage="1" sqref="E35">
      <formula1>C30=AK103</formula1>
    </dataValidation>
  </dataValidations>
  <pageMargins left="0.7" right="0.7" top="0.75" bottom="0.75" header="0.3" footer="0.3"/>
  <pageSetup orientation="portrait" horizontalDpi="90" verticalDpi="90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S116"/>
  <sheetViews>
    <sheetView showGridLines="0" zoomScale="46" zoomScaleNormal="46" workbookViewId="0">
      <selection activeCell="H79" sqref="H79"/>
    </sheetView>
  </sheetViews>
  <sheetFormatPr defaultRowHeight="15"/>
  <cols>
    <col min="1" max="1" width="13.85546875" customWidth="1"/>
    <col min="3" max="3" width="10.28515625" customWidth="1"/>
    <col min="4" max="4" width="11.42578125" customWidth="1"/>
    <col min="5" max="5" width="35.140625" customWidth="1"/>
    <col min="6" max="6" width="37.42578125" customWidth="1"/>
    <col min="7" max="7" width="75.140625" customWidth="1"/>
    <col min="8" max="8" width="52.5703125" customWidth="1"/>
    <col min="9" max="9" width="29.7109375" customWidth="1"/>
    <col min="17" max="17" width="44.28515625" customWidth="1"/>
    <col min="18" max="18" width="35.7109375" customWidth="1"/>
    <col min="19" max="19" width="78.28515625" customWidth="1"/>
    <col min="20" max="20" width="49.42578125" customWidth="1"/>
    <col min="21" max="21" width="30.28515625" customWidth="1"/>
    <col min="22" max="22" width="11.42578125" customWidth="1"/>
    <col min="23" max="23" width="11.140625" customWidth="1"/>
    <col min="24" max="24" width="11.42578125" customWidth="1"/>
  </cols>
  <sheetData>
    <row r="2" spans="2:44">
      <c r="B2" s="98"/>
      <c r="C2" s="99"/>
      <c r="D2" s="99"/>
      <c r="E2" s="99"/>
      <c r="F2" s="99"/>
      <c r="G2" s="99"/>
      <c r="H2" s="99"/>
      <c r="I2" s="99"/>
      <c r="J2" s="99"/>
      <c r="K2" s="99"/>
      <c r="L2" s="100"/>
      <c r="N2" s="98"/>
      <c r="O2" s="99"/>
      <c r="P2" s="99"/>
      <c r="Q2" s="99"/>
      <c r="R2" s="99"/>
      <c r="S2" s="99"/>
      <c r="T2" s="99"/>
      <c r="U2" s="99"/>
      <c r="V2" s="99"/>
      <c r="W2" s="99"/>
      <c r="X2" s="100"/>
      <c r="Z2" s="98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100"/>
    </row>
    <row r="3" spans="2:44">
      <c r="B3" s="101"/>
      <c r="L3" s="102"/>
      <c r="N3" s="101"/>
      <c r="X3" s="102"/>
      <c r="Z3" s="101"/>
      <c r="AR3" s="102"/>
    </row>
    <row r="4" spans="2:44">
      <c r="B4" s="101"/>
      <c r="L4" s="102"/>
      <c r="N4" s="101"/>
      <c r="X4" s="102"/>
      <c r="Z4" s="101"/>
      <c r="AR4" s="102"/>
    </row>
    <row r="5" spans="2:44">
      <c r="B5" s="101"/>
      <c r="L5" s="102"/>
      <c r="N5" s="101"/>
      <c r="X5" s="102"/>
      <c r="Z5" s="101"/>
      <c r="AR5" s="102"/>
    </row>
    <row r="6" spans="2:44">
      <c r="B6" s="101"/>
      <c r="L6" s="102"/>
      <c r="N6" s="101"/>
      <c r="X6" s="102"/>
      <c r="Z6" s="101"/>
      <c r="AR6" s="102"/>
    </row>
    <row r="7" spans="2:44">
      <c r="B7" s="101"/>
      <c r="L7" s="102"/>
      <c r="N7" s="101"/>
      <c r="X7" s="102"/>
      <c r="Z7" s="101"/>
      <c r="AR7" s="102"/>
    </row>
    <row r="8" spans="2:44">
      <c r="B8" s="101"/>
      <c r="L8" s="102"/>
      <c r="N8" s="101"/>
      <c r="X8" s="102"/>
      <c r="Z8" s="101"/>
      <c r="AR8" s="102"/>
    </row>
    <row r="9" spans="2:44">
      <c r="B9" s="101"/>
      <c r="L9" s="102"/>
      <c r="N9" s="101"/>
      <c r="X9" s="102"/>
      <c r="Z9" s="101"/>
      <c r="AR9" s="102"/>
    </row>
    <row r="10" spans="2:44">
      <c r="B10" s="101"/>
      <c r="L10" s="102"/>
      <c r="N10" s="101"/>
      <c r="X10" s="102"/>
      <c r="Z10" s="101"/>
      <c r="AR10" s="102"/>
    </row>
    <row r="11" spans="2:44">
      <c r="B11" s="101"/>
      <c r="L11" s="102"/>
      <c r="N11" s="101"/>
      <c r="X11" s="102"/>
      <c r="Z11" s="101"/>
      <c r="AR11" s="102"/>
    </row>
    <row r="12" spans="2:44">
      <c r="B12" s="101"/>
      <c r="L12" s="102"/>
      <c r="N12" s="101"/>
      <c r="X12" s="102"/>
      <c r="Z12" s="101"/>
      <c r="AR12" s="102"/>
    </row>
    <row r="13" spans="2:44" ht="55.5" customHeight="1" thickBot="1">
      <c r="B13" s="101"/>
      <c r="E13" s="118" t="s">
        <v>147</v>
      </c>
      <c r="F13" s="119" t="s">
        <v>151</v>
      </c>
      <c r="G13" s="119" t="s">
        <v>152</v>
      </c>
      <c r="H13" s="119" t="s">
        <v>153</v>
      </c>
      <c r="I13" s="120" t="s">
        <v>43</v>
      </c>
      <c r="L13" s="102"/>
      <c r="N13" s="101"/>
      <c r="Q13" s="118" t="s">
        <v>155</v>
      </c>
      <c r="R13" s="119" t="s">
        <v>151</v>
      </c>
      <c r="S13" s="119" t="s">
        <v>152</v>
      </c>
      <c r="T13" s="119" t="s">
        <v>153</v>
      </c>
      <c r="U13" s="120" t="s">
        <v>43</v>
      </c>
      <c r="X13" s="102"/>
      <c r="Z13" s="101"/>
      <c r="AR13" s="102"/>
    </row>
    <row r="14" spans="2:44" ht="26.25" thickTop="1">
      <c r="B14" s="101"/>
      <c r="E14" s="115" t="s">
        <v>148</v>
      </c>
      <c r="F14" s="138">
        <f>(Entry!C40+Entry!C41)</f>
        <v>42</v>
      </c>
      <c r="G14" s="138">
        <f>(Entry!D40+Entry!D41)</f>
        <v>24</v>
      </c>
      <c r="H14" s="138">
        <f>Entry!E41</f>
        <v>14</v>
      </c>
      <c r="I14" s="138">
        <f>SUM(Table3[[#This Row],[Short trip 
(upto 30 km)]:[Long Trip 
(greater than 50km)]])</f>
        <v>80</v>
      </c>
      <c r="L14" s="102"/>
      <c r="N14" s="101"/>
      <c r="Q14" s="115" t="s">
        <v>156</v>
      </c>
      <c r="R14" s="138">
        <f>(Entry!C47+Entry!C46)*Entry!$C$4</f>
        <v>924</v>
      </c>
      <c r="S14" s="138">
        <f>(Entry!D47+Entry!D46)*Entry!$C$4</f>
        <v>1056</v>
      </c>
      <c r="T14" s="138">
        <f>(Entry!E47+Entry!E46)*Entry!$C$4</f>
        <v>2376</v>
      </c>
      <c r="U14" s="138">
        <f>SUM(Table38[[#This Row],[Short trip 
(upto 30 km)]:[Long Trip 
(greater than 50km)]])</f>
        <v>4356</v>
      </c>
      <c r="X14" s="102"/>
      <c r="Z14" s="101"/>
      <c r="AR14" s="102"/>
    </row>
    <row r="15" spans="2:44" ht="25.5">
      <c r="B15" s="101"/>
      <c r="E15" s="116" t="s">
        <v>149</v>
      </c>
      <c r="F15" s="138">
        <f>Entry!C42</f>
        <v>24</v>
      </c>
      <c r="G15" s="138">
        <f>Entry!D42</f>
        <v>18</v>
      </c>
      <c r="H15" s="138">
        <f>Entry!E42</f>
        <v>0</v>
      </c>
      <c r="I15" s="138">
        <f>SUM(Table3[[#This Row],[Short trip 
(upto 30 km)]:[Long Trip 
(greater than 50km)]])</f>
        <v>42</v>
      </c>
      <c r="L15" s="102"/>
      <c r="N15" s="101"/>
      <c r="Q15" s="116" t="s">
        <v>157</v>
      </c>
      <c r="R15" s="138">
        <f>Entry!C48*Entry!$C$4</f>
        <v>528</v>
      </c>
      <c r="S15" s="138">
        <f>Entry!D48*Entry!$C$4</f>
        <v>792</v>
      </c>
      <c r="T15" s="138">
        <f>Entry!E48*Entry!$C$4</f>
        <v>0</v>
      </c>
      <c r="U15" s="138">
        <f>SUM(Table38[[#This Row],[Short trip 
(upto 30 km)]:[Long Trip 
(greater than 50km)]])</f>
        <v>1320</v>
      </c>
      <c r="X15" s="102"/>
      <c r="Z15" s="101"/>
      <c r="AR15" s="102"/>
    </row>
    <row r="16" spans="2:44" ht="25.5">
      <c r="B16" s="101"/>
      <c r="E16" s="117" t="s">
        <v>150</v>
      </c>
      <c r="F16" s="138">
        <f>Entry!C43</f>
        <v>12.863387978142093</v>
      </c>
      <c r="G16" s="138">
        <f>Entry!D43</f>
        <v>0</v>
      </c>
      <c r="H16" s="138">
        <f>Entry!E43</f>
        <v>0</v>
      </c>
      <c r="I16" s="138">
        <f>SUM(Table3[[#This Row],[Short trip 
(upto 30 km)]:[Long Trip 
(greater than 50km)]])</f>
        <v>12.863387978142093</v>
      </c>
      <c r="L16" s="102"/>
      <c r="N16" s="101"/>
      <c r="Q16" s="117" t="s">
        <v>158</v>
      </c>
      <c r="R16" s="138">
        <f>Entry!C49*Entry!$C$4</f>
        <v>282.99453551912603</v>
      </c>
      <c r="S16" s="138">
        <f>Entry!D49*Entry!$C$4</f>
        <v>0</v>
      </c>
      <c r="T16" s="138">
        <f>Entry!E49*Entry!$C$4</f>
        <v>0</v>
      </c>
      <c r="U16" s="138">
        <f>SUM(Table38[[#This Row],[Short trip 
(upto 30 km)]:[Long Trip 
(greater than 50km)]])</f>
        <v>282.99453551912603</v>
      </c>
      <c r="X16" s="102"/>
      <c r="Z16" s="101"/>
      <c r="AR16" s="102"/>
    </row>
    <row r="17" spans="2:45" ht="25.5">
      <c r="B17" s="101"/>
      <c r="E17" s="116" t="s">
        <v>23</v>
      </c>
      <c r="F17" s="138">
        <f>SUM(F14:F16)</f>
        <v>78.8633879781421</v>
      </c>
      <c r="G17" s="138">
        <f t="shared" ref="G17" si="0">SUM(G14:G16)</f>
        <v>42</v>
      </c>
      <c r="H17" s="138">
        <f>SUM(H14:H16)</f>
        <v>14</v>
      </c>
      <c r="I17" s="138">
        <f>SUM(Table3[[#This Row],[Short trip 
(upto 30 km)]:[Long Trip 
(greater than 50km)]])</f>
        <v>134.8633879781421</v>
      </c>
      <c r="L17" s="102"/>
      <c r="N17" s="101"/>
      <c r="Q17" s="116" t="s">
        <v>23</v>
      </c>
      <c r="R17" s="138">
        <f>SUM(R14:R16)</f>
        <v>1734.994535519126</v>
      </c>
      <c r="S17" s="138">
        <f t="shared" ref="S17" si="1">SUM(S14:S16)</f>
        <v>1848</v>
      </c>
      <c r="T17" s="138">
        <f>SUM(T14:T16)</f>
        <v>2376</v>
      </c>
      <c r="U17" s="138">
        <f>SUM(Table38[[#This Row],[Short trip 
(upto 30 km)]:[Long Trip 
(greater than 50km)]])</f>
        <v>5958.9945355191257</v>
      </c>
      <c r="X17" s="102"/>
      <c r="Z17" s="101"/>
      <c r="AR17" s="102"/>
    </row>
    <row r="18" spans="2:45">
      <c r="B18" s="101"/>
      <c r="L18" s="102"/>
      <c r="N18" s="101"/>
      <c r="X18" s="102"/>
      <c r="Z18" s="101"/>
      <c r="AR18" s="102"/>
    </row>
    <row r="19" spans="2:45">
      <c r="B19" s="101"/>
      <c r="L19" s="102"/>
      <c r="N19" s="101"/>
      <c r="X19" s="102"/>
      <c r="Z19" s="101"/>
      <c r="AR19" s="102"/>
    </row>
    <row r="20" spans="2:45">
      <c r="B20" s="101"/>
      <c r="L20" s="102"/>
      <c r="N20" s="101"/>
      <c r="X20" s="102"/>
      <c r="Z20" s="101"/>
      <c r="AR20" s="102"/>
    </row>
    <row r="21" spans="2:45">
      <c r="B21" s="101"/>
      <c r="L21" s="102"/>
      <c r="N21" s="101"/>
      <c r="X21" s="102"/>
      <c r="Z21" s="101"/>
      <c r="AR21" s="102"/>
    </row>
    <row r="22" spans="2:45">
      <c r="B22" s="101"/>
      <c r="L22" s="102"/>
      <c r="N22" s="101"/>
      <c r="X22" s="102"/>
      <c r="Z22" s="101"/>
      <c r="AR22" s="102"/>
    </row>
    <row r="23" spans="2:45">
      <c r="B23" s="101"/>
      <c r="L23" s="102"/>
      <c r="N23" s="101"/>
      <c r="X23" s="102"/>
      <c r="Z23" s="103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5"/>
    </row>
    <row r="24" spans="2:45">
      <c r="B24" s="101"/>
      <c r="L24" s="102"/>
      <c r="N24" s="101"/>
      <c r="X24" s="102"/>
    </row>
    <row r="25" spans="2:45">
      <c r="B25" s="101"/>
      <c r="L25" s="102"/>
      <c r="N25" s="101"/>
      <c r="X25" s="102"/>
      <c r="Z25" s="98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100"/>
    </row>
    <row r="26" spans="2:45" ht="51.75" thickBot="1">
      <c r="B26" s="101"/>
      <c r="E26" s="118" t="s">
        <v>147</v>
      </c>
      <c r="F26" s="119" t="s">
        <v>151</v>
      </c>
      <c r="G26" s="119" t="s">
        <v>152</v>
      </c>
      <c r="H26" s="119" t="s">
        <v>153</v>
      </c>
      <c r="I26" s="120" t="s">
        <v>43</v>
      </c>
      <c r="L26" s="102"/>
      <c r="N26" s="101"/>
      <c r="Q26" s="118" t="s">
        <v>155</v>
      </c>
      <c r="R26" s="119" t="s">
        <v>151</v>
      </c>
      <c r="S26" s="119" t="s">
        <v>152</v>
      </c>
      <c r="T26" s="119" t="s">
        <v>153</v>
      </c>
      <c r="U26" s="120" t="s">
        <v>43</v>
      </c>
      <c r="X26" s="102"/>
      <c r="Z26" s="101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101"/>
    </row>
    <row r="27" spans="2:45" ht="26.25" thickTop="1">
      <c r="B27" s="101"/>
      <c r="E27" s="115" t="s">
        <v>148</v>
      </c>
      <c r="F27" s="138">
        <f>Entry!C41</f>
        <v>6</v>
      </c>
      <c r="G27" s="138">
        <f>Entry!D41</f>
        <v>6</v>
      </c>
      <c r="H27" s="138">
        <f>Entry!E41</f>
        <v>14</v>
      </c>
      <c r="I27" s="138">
        <f>SUM(Table5[[#This Row],[Short trip 
(upto 30 km)]:[Long Trip 
(greater than 50km)]])</f>
        <v>26</v>
      </c>
      <c r="L27" s="102"/>
      <c r="N27" s="101"/>
      <c r="Q27" s="115" t="s">
        <v>156</v>
      </c>
      <c r="R27" s="138">
        <f>Entry!C47*Entry!$C$4</f>
        <v>132</v>
      </c>
      <c r="S27" s="138">
        <f>Entry!D47*Entry!$C$4</f>
        <v>264</v>
      </c>
      <c r="T27" s="138">
        <f>Entry!E47*Entry!$C$4</f>
        <v>528</v>
      </c>
      <c r="U27" s="138">
        <f>SUM(Table510[[#This Row],[Short trip 
(upto 30 km)]:[Long Trip 
(greater than 50km)]])</f>
        <v>924</v>
      </c>
      <c r="X27" s="102"/>
      <c r="Z27" s="101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101"/>
    </row>
    <row r="28" spans="2:45" ht="25.5">
      <c r="B28" s="101"/>
      <c r="E28" s="116" t="s">
        <v>149</v>
      </c>
      <c r="F28" s="138">
        <f>Entry!C42</f>
        <v>24</v>
      </c>
      <c r="G28" s="138">
        <f>Entry!D42</f>
        <v>18</v>
      </c>
      <c r="H28" s="138">
        <f>Entry!E42</f>
        <v>0</v>
      </c>
      <c r="I28" s="138">
        <f>SUM(Table5[[#This Row],[Short trip 
(upto 30 km)]:[Long Trip 
(greater than 50km)]])</f>
        <v>42</v>
      </c>
      <c r="L28" s="102"/>
      <c r="N28" s="101"/>
      <c r="Q28" s="116" t="s">
        <v>157</v>
      </c>
      <c r="R28" s="138">
        <f>Entry!C48*Entry!$C$4</f>
        <v>528</v>
      </c>
      <c r="S28" s="138">
        <f>Entry!D48*Entry!$C$4</f>
        <v>792</v>
      </c>
      <c r="T28" s="138">
        <f>Entry!E48*Entry!$C$4</f>
        <v>0</v>
      </c>
      <c r="U28" s="138">
        <f>SUM(Table510[[#This Row],[Short trip 
(upto 30 km)]:[Long Trip 
(greater than 50km)]])</f>
        <v>1320</v>
      </c>
      <c r="X28" s="102"/>
      <c r="Z28" s="101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101"/>
    </row>
    <row r="29" spans="2:45" ht="25.5">
      <c r="B29" s="101"/>
      <c r="E29" s="117" t="s">
        <v>150</v>
      </c>
      <c r="F29" s="138">
        <f>Entry!C43</f>
        <v>12.863387978142093</v>
      </c>
      <c r="G29" s="138">
        <f>Entry!D43</f>
        <v>0</v>
      </c>
      <c r="H29" s="138">
        <f>Entry!E43</f>
        <v>0</v>
      </c>
      <c r="I29" s="138">
        <f>SUM(Table5[[#This Row],[Short trip 
(upto 30 km)]:[Long Trip 
(greater than 50km)]])</f>
        <v>12.863387978142093</v>
      </c>
      <c r="L29" s="102"/>
      <c r="N29" s="101"/>
      <c r="Q29" s="117" t="s">
        <v>158</v>
      </c>
      <c r="R29" s="138">
        <f>Entry!C49*Entry!$C$4</f>
        <v>282.99453551912603</v>
      </c>
      <c r="S29" s="138">
        <f>Entry!D49*Entry!$C$4</f>
        <v>0</v>
      </c>
      <c r="T29" s="138">
        <f>Entry!E49*Entry!$C$4</f>
        <v>0</v>
      </c>
      <c r="U29" s="138">
        <f>SUM(Table510[[#This Row],[Short trip 
(upto 30 km)]:[Long Trip 
(greater than 50km)]])</f>
        <v>282.99453551912603</v>
      </c>
      <c r="X29" s="102"/>
      <c r="Z29" s="101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101"/>
    </row>
    <row r="30" spans="2:45" ht="25.5">
      <c r="B30" s="101"/>
      <c r="E30" s="120" t="s">
        <v>154</v>
      </c>
      <c r="F30" s="138">
        <f>Entry!C40</f>
        <v>36</v>
      </c>
      <c r="G30" s="138">
        <f>Entry!D40</f>
        <v>18</v>
      </c>
      <c r="H30" s="138">
        <f>Entry!E40</f>
        <v>49</v>
      </c>
      <c r="I30" s="138">
        <f>SUM(Table5[[#This Row],[Short trip 
(upto 30 km)]:[Long Trip 
(greater than 50km)]])</f>
        <v>103</v>
      </c>
      <c r="L30" s="102"/>
      <c r="N30" s="101"/>
      <c r="Q30" s="120" t="s">
        <v>159</v>
      </c>
      <c r="R30" s="138">
        <f>Entry!C46*Entry!$C$4</f>
        <v>792</v>
      </c>
      <c r="S30" s="138">
        <f>Entry!D46*Entry!$C$4</f>
        <v>792</v>
      </c>
      <c r="T30" s="138">
        <f>Entry!E46*Entry!$C$4</f>
        <v>1848</v>
      </c>
      <c r="U30" s="138">
        <f>SUM(Table510[[#This Row],[Short trip 
(upto 30 km)]:[Long Trip 
(greater than 50km)]])</f>
        <v>3432</v>
      </c>
      <c r="X30" s="102"/>
      <c r="Z30" s="101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101"/>
    </row>
    <row r="31" spans="2:45" ht="25.5">
      <c r="B31" s="101"/>
      <c r="E31" s="120" t="s">
        <v>23</v>
      </c>
      <c r="F31" s="138">
        <f>SUM(F27:F30)</f>
        <v>78.8633879781421</v>
      </c>
      <c r="G31" s="138">
        <f t="shared" ref="G31:H31" si="2">SUM(G27:G30)</f>
        <v>42</v>
      </c>
      <c r="H31" s="138">
        <f t="shared" si="2"/>
        <v>63</v>
      </c>
      <c r="I31" s="138">
        <f>SUM(Table5[[#This Row],[Short trip 
(upto 30 km)]:[Long Trip 
(greater than 50km)]])</f>
        <v>183.8633879781421</v>
      </c>
      <c r="L31" s="102"/>
      <c r="N31" s="101"/>
      <c r="Q31" s="120" t="s">
        <v>23</v>
      </c>
      <c r="R31" s="138">
        <f>SUM(R27:R30)</f>
        <v>1734.994535519126</v>
      </c>
      <c r="S31" s="138">
        <f t="shared" ref="S31" si="3">SUM(S27:S30)</f>
        <v>1848</v>
      </c>
      <c r="T31" s="138">
        <f t="shared" ref="T31" si="4">SUM(T27:T30)</f>
        <v>2376</v>
      </c>
      <c r="U31" s="138">
        <f>SUM(Table510[[#This Row],[Short trip 
(upto 30 km)]:[Long Trip 
(greater than 50km)]])</f>
        <v>5958.9945355191257</v>
      </c>
      <c r="X31" s="102"/>
      <c r="Z31" s="101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101"/>
    </row>
    <row r="32" spans="2:45">
      <c r="B32" s="101"/>
      <c r="L32" s="102"/>
      <c r="N32" s="101"/>
      <c r="X32" s="102"/>
      <c r="Z32" s="101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101"/>
    </row>
    <row r="33" spans="2:45">
      <c r="B33" s="101"/>
      <c r="L33" s="102"/>
      <c r="N33" s="101"/>
      <c r="X33" s="102"/>
      <c r="Z33" s="101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101"/>
    </row>
    <row r="34" spans="2:45">
      <c r="B34" s="101"/>
      <c r="L34" s="102"/>
      <c r="N34" s="101"/>
      <c r="X34" s="102"/>
      <c r="Z34" s="101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101"/>
    </row>
    <row r="35" spans="2:45">
      <c r="B35" s="101"/>
      <c r="L35" s="102"/>
      <c r="N35" s="101"/>
      <c r="X35" s="102"/>
      <c r="Z35" s="101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101"/>
    </row>
    <row r="36" spans="2:45">
      <c r="B36" s="101"/>
      <c r="L36" s="102"/>
      <c r="N36" s="101"/>
      <c r="X36" s="102"/>
      <c r="Z36" s="101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101"/>
    </row>
    <row r="37" spans="2:45">
      <c r="B37" s="101"/>
      <c r="L37" s="102"/>
      <c r="N37" s="101"/>
      <c r="X37" s="102"/>
      <c r="Z37" s="101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101"/>
    </row>
    <row r="38" spans="2:45">
      <c r="B38" s="101"/>
      <c r="L38" s="102"/>
      <c r="N38" s="101"/>
      <c r="X38" s="102"/>
      <c r="Z38" s="101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101"/>
    </row>
    <row r="39" spans="2:45">
      <c r="B39" s="101"/>
      <c r="L39" s="102"/>
      <c r="N39" s="101"/>
      <c r="X39" s="102"/>
      <c r="Z39" s="101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101"/>
    </row>
    <row r="40" spans="2:45">
      <c r="B40" s="101"/>
      <c r="L40" s="102"/>
      <c r="N40" s="101"/>
      <c r="X40" s="102"/>
      <c r="Z40" s="101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101"/>
    </row>
    <row r="41" spans="2:45">
      <c r="B41" s="101"/>
      <c r="L41" s="102"/>
      <c r="N41" s="101"/>
      <c r="X41" s="102"/>
      <c r="Z41" s="101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101"/>
    </row>
    <row r="42" spans="2:45">
      <c r="B42" s="101"/>
      <c r="L42" s="102"/>
      <c r="N42" s="101"/>
      <c r="X42" s="102"/>
      <c r="Z42" s="101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101"/>
    </row>
    <row r="43" spans="2:45">
      <c r="B43" s="101"/>
      <c r="L43" s="102"/>
      <c r="N43" s="101"/>
      <c r="X43" s="102"/>
      <c r="Z43" s="101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101"/>
    </row>
    <row r="44" spans="2:45">
      <c r="B44" s="101"/>
      <c r="L44" s="102"/>
      <c r="N44" s="101"/>
      <c r="S44" s="106"/>
      <c r="T44" s="106"/>
      <c r="U44" s="106"/>
      <c r="V44" s="106"/>
      <c r="W44" s="106"/>
      <c r="X44" s="121"/>
      <c r="Z44" s="101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101"/>
    </row>
    <row r="45" spans="2:45">
      <c r="B45" s="103"/>
      <c r="C45" s="104"/>
      <c r="D45" s="104"/>
      <c r="E45" s="104"/>
      <c r="F45" s="104"/>
      <c r="G45" s="104"/>
      <c r="H45" s="104"/>
      <c r="I45" s="104"/>
      <c r="J45" s="104"/>
      <c r="K45" s="104"/>
      <c r="L45" s="105"/>
      <c r="N45" s="103"/>
      <c r="O45" s="104"/>
      <c r="P45" s="104"/>
      <c r="Q45" s="104"/>
      <c r="R45" s="104"/>
      <c r="S45" s="107"/>
      <c r="T45" s="107"/>
      <c r="U45" s="107"/>
      <c r="V45" s="107"/>
      <c r="W45" s="107"/>
      <c r="X45" s="122"/>
      <c r="Z45" s="101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101"/>
    </row>
    <row r="46" spans="2:45">
      <c r="O46" s="21"/>
      <c r="P46" s="21"/>
      <c r="Q46" s="21"/>
      <c r="R46" s="21"/>
      <c r="S46" s="21"/>
      <c r="T46" s="21"/>
      <c r="U46" s="21"/>
      <c r="V46" s="21"/>
      <c r="W46" s="21"/>
      <c r="X46" s="21"/>
      <c r="Z46" s="101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101"/>
    </row>
    <row r="47" spans="2:45"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100"/>
      <c r="N47" s="9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1"/>
      <c r="Z47" s="101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101"/>
    </row>
    <row r="48" spans="2:45">
      <c r="B48" s="101"/>
      <c r="C48" s="6"/>
      <c r="D48" s="6"/>
      <c r="E48" s="6"/>
      <c r="F48" s="6"/>
      <c r="G48" s="6"/>
      <c r="H48" s="6"/>
      <c r="I48" s="6"/>
      <c r="J48" s="6"/>
      <c r="K48" s="6"/>
      <c r="L48" s="102"/>
      <c r="N48" s="101"/>
      <c r="O48" s="123"/>
      <c r="P48" s="6"/>
      <c r="Q48" s="6"/>
      <c r="R48" s="6"/>
      <c r="S48" s="6"/>
      <c r="T48" s="6"/>
      <c r="U48" s="6"/>
      <c r="V48" s="6"/>
      <c r="W48" s="6"/>
      <c r="X48" s="6"/>
      <c r="Y48" s="101"/>
      <c r="Z48" s="101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101"/>
    </row>
    <row r="49" spans="2:45">
      <c r="B49" s="101"/>
      <c r="C49" s="6"/>
      <c r="D49" s="6"/>
      <c r="E49" s="6"/>
      <c r="F49" s="6"/>
      <c r="G49" s="6"/>
      <c r="H49" s="6"/>
      <c r="I49" s="6"/>
      <c r="J49" s="6"/>
      <c r="K49" s="6"/>
      <c r="L49" s="102"/>
      <c r="N49" s="101"/>
      <c r="O49" s="123"/>
      <c r="P49" s="6"/>
      <c r="Q49" s="6"/>
      <c r="R49" s="6"/>
      <c r="S49" s="6"/>
      <c r="T49" s="6"/>
      <c r="U49" s="6"/>
      <c r="V49" s="6"/>
      <c r="W49" s="6"/>
      <c r="X49" s="6"/>
      <c r="Y49" s="101"/>
      <c r="Z49" s="101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101"/>
    </row>
    <row r="50" spans="2:45">
      <c r="B50" s="101"/>
      <c r="C50" s="6"/>
      <c r="D50" s="6"/>
      <c r="E50" s="6"/>
      <c r="F50" s="6"/>
      <c r="G50" s="6"/>
      <c r="H50" s="6"/>
      <c r="I50" s="6"/>
      <c r="J50" s="6"/>
      <c r="K50" s="6"/>
      <c r="L50" s="102"/>
      <c r="N50" s="101"/>
      <c r="O50" s="123"/>
      <c r="P50" s="6"/>
      <c r="Q50" s="124"/>
      <c r="R50" s="124"/>
      <c r="S50" s="124"/>
      <c r="T50" s="124"/>
      <c r="U50" s="124"/>
      <c r="V50" s="124"/>
      <c r="W50" s="124"/>
      <c r="X50" s="124"/>
      <c r="Y50" s="101"/>
      <c r="Z50" s="101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101"/>
    </row>
    <row r="51" spans="2:45">
      <c r="B51" s="101"/>
      <c r="C51" s="6"/>
      <c r="D51" s="6"/>
      <c r="E51" s="6"/>
      <c r="F51" s="6"/>
      <c r="G51" s="6"/>
      <c r="H51" s="6"/>
      <c r="I51" s="6"/>
      <c r="J51" s="6"/>
      <c r="K51" s="6"/>
      <c r="L51" s="102"/>
      <c r="N51" s="101"/>
      <c r="O51" s="123"/>
      <c r="P51" s="6"/>
      <c r="Q51" s="124"/>
      <c r="R51" s="124"/>
      <c r="S51" s="124"/>
      <c r="T51" s="124"/>
      <c r="U51" s="124"/>
      <c r="V51" s="124"/>
      <c r="W51" s="124"/>
      <c r="X51" s="124"/>
      <c r="Y51" s="101"/>
      <c r="Z51" s="101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101"/>
    </row>
    <row r="52" spans="2:45" ht="18.75">
      <c r="B52" s="101"/>
      <c r="C52" s="6"/>
      <c r="D52" s="6"/>
      <c r="E52" s="6"/>
      <c r="F52" s="6"/>
      <c r="G52" s="6"/>
      <c r="H52" s="6"/>
      <c r="I52" s="6"/>
      <c r="J52" s="6"/>
      <c r="K52" s="6"/>
      <c r="L52" s="102"/>
      <c r="M52" s="109"/>
      <c r="N52" s="110"/>
      <c r="O52" s="125"/>
      <c r="P52" s="125"/>
      <c r="Q52" s="126"/>
      <c r="R52" s="126"/>
      <c r="S52" s="127"/>
      <c r="T52" s="128"/>
      <c r="U52" s="128"/>
      <c r="V52" s="128"/>
      <c r="W52" s="129"/>
      <c r="X52" s="128"/>
      <c r="Y52" s="101"/>
      <c r="Z52" s="101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101"/>
    </row>
    <row r="53" spans="2:45" ht="15.75">
      <c r="B53" s="101"/>
      <c r="C53" s="6"/>
      <c r="D53" s="6"/>
      <c r="E53" s="6"/>
      <c r="F53" s="6"/>
      <c r="G53" s="6"/>
      <c r="H53" s="6"/>
      <c r="I53" s="6"/>
      <c r="J53" s="6"/>
      <c r="K53" s="6"/>
      <c r="L53" s="102"/>
      <c r="M53" s="111"/>
      <c r="N53" s="112"/>
      <c r="O53" s="130"/>
      <c r="P53" s="130"/>
      <c r="Q53" s="131"/>
      <c r="R53" s="132" t="s">
        <v>166</v>
      </c>
      <c r="S53" s="129"/>
      <c r="T53" s="128"/>
      <c r="U53" s="128"/>
      <c r="V53" s="128"/>
      <c r="W53" s="129"/>
      <c r="X53" s="128"/>
      <c r="Y53" s="101"/>
      <c r="Z53" s="101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101"/>
    </row>
    <row r="54" spans="2:45" ht="15.75">
      <c r="B54" s="101"/>
      <c r="C54" s="6"/>
      <c r="D54" s="6"/>
      <c r="E54" s="6"/>
      <c r="F54" s="6"/>
      <c r="G54" s="6"/>
      <c r="H54" s="6"/>
      <c r="I54" s="6"/>
      <c r="J54" s="6"/>
      <c r="K54" s="6"/>
      <c r="L54" s="102"/>
      <c r="M54" s="111"/>
      <c r="N54" s="112"/>
      <c r="O54" s="130"/>
      <c r="P54" s="130"/>
      <c r="Q54" s="131"/>
      <c r="R54" s="132" t="s">
        <v>167</v>
      </c>
      <c r="S54" s="129"/>
      <c r="T54" s="128"/>
      <c r="U54" s="128"/>
      <c r="V54" s="128"/>
      <c r="W54" s="129"/>
      <c r="X54" s="128"/>
      <c r="Y54" s="101"/>
      <c r="Z54" s="101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101"/>
    </row>
    <row r="55" spans="2:45" ht="15.75">
      <c r="B55" s="101"/>
      <c r="C55" s="6"/>
      <c r="D55" s="6"/>
      <c r="E55" s="6"/>
      <c r="F55" s="6"/>
      <c r="G55" s="6"/>
      <c r="H55" s="6"/>
      <c r="I55" s="6"/>
      <c r="J55" s="6"/>
      <c r="K55" s="6"/>
      <c r="L55" s="102"/>
      <c r="M55" s="111"/>
      <c r="N55" s="112"/>
      <c r="O55" s="130"/>
      <c r="P55" s="130"/>
      <c r="Q55" s="131"/>
      <c r="R55" s="132" t="s">
        <v>167</v>
      </c>
      <c r="S55" s="129"/>
      <c r="T55" s="128"/>
      <c r="U55" s="128"/>
      <c r="V55" s="128"/>
      <c r="W55" s="129"/>
      <c r="X55" s="128"/>
      <c r="Y55" s="101"/>
      <c r="Z55" s="101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101"/>
    </row>
    <row r="56" spans="2:45" ht="15.75">
      <c r="B56" s="101"/>
      <c r="C56" s="6"/>
      <c r="D56" s="6"/>
      <c r="E56" s="6"/>
      <c r="F56" s="6"/>
      <c r="G56" s="6"/>
      <c r="H56" s="6"/>
      <c r="I56" s="6"/>
      <c r="J56" s="6"/>
      <c r="K56" s="6"/>
      <c r="L56" s="102"/>
      <c r="N56" s="101"/>
      <c r="O56" s="123"/>
      <c r="P56" s="123"/>
      <c r="Q56" s="131"/>
      <c r="R56" s="132"/>
      <c r="S56" s="129"/>
      <c r="T56" s="128"/>
      <c r="U56" s="128"/>
      <c r="V56" s="128"/>
      <c r="W56" s="129"/>
      <c r="X56" s="128"/>
      <c r="Y56" s="101"/>
      <c r="Z56" s="101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101"/>
    </row>
    <row r="57" spans="2:45" ht="18.75">
      <c r="B57" s="101"/>
      <c r="C57" s="6"/>
      <c r="D57" s="6"/>
      <c r="E57" s="6"/>
      <c r="F57" s="6"/>
      <c r="G57" s="6"/>
      <c r="H57" s="6"/>
      <c r="I57" s="6"/>
      <c r="J57" s="6"/>
      <c r="K57" s="6"/>
      <c r="L57" s="102"/>
      <c r="M57" s="113"/>
      <c r="N57" s="114"/>
      <c r="O57" s="133"/>
      <c r="P57" s="133"/>
      <c r="Q57" s="131"/>
      <c r="R57" s="132"/>
      <c r="S57" s="129"/>
      <c r="T57" s="128"/>
      <c r="U57" s="128"/>
      <c r="V57" s="128"/>
      <c r="W57" s="129"/>
      <c r="X57" s="128"/>
      <c r="Y57" s="101"/>
      <c r="Z57" s="101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101"/>
    </row>
    <row r="58" spans="2:45" ht="15.75">
      <c r="B58" s="101"/>
      <c r="C58" s="6"/>
      <c r="D58" s="6"/>
      <c r="E58" s="6"/>
      <c r="F58" s="6"/>
      <c r="G58" s="6"/>
      <c r="H58" s="6"/>
      <c r="I58" s="6"/>
      <c r="J58" s="6"/>
      <c r="K58" s="6"/>
      <c r="L58" s="102"/>
      <c r="M58" s="111"/>
      <c r="N58" s="112"/>
      <c r="O58" s="130"/>
      <c r="P58" s="130"/>
      <c r="Q58" s="131"/>
      <c r="R58" s="132"/>
      <c r="S58" s="129"/>
      <c r="T58" s="128"/>
      <c r="U58" s="128"/>
      <c r="V58" s="128"/>
      <c r="W58" s="129"/>
      <c r="X58" s="128"/>
      <c r="Y58" s="101"/>
      <c r="Z58" s="101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101"/>
    </row>
    <row r="59" spans="2:45" ht="15.75">
      <c r="B59" s="101"/>
      <c r="C59" s="6"/>
      <c r="D59" s="6"/>
      <c r="E59" s="6"/>
      <c r="F59" s="6"/>
      <c r="G59" s="6"/>
      <c r="H59" s="6"/>
      <c r="I59" s="6"/>
      <c r="J59" s="6"/>
      <c r="K59" s="6"/>
      <c r="L59" s="102"/>
      <c r="M59" s="111"/>
      <c r="N59" s="112"/>
      <c r="O59" s="130"/>
      <c r="P59" s="130"/>
      <c r="Q59" s="131"/>
      <c r="R59" s="132"/>
      <c r="S59" s="129"/>
      <c r="T59" s="128"/>
      <c r="U59" s="128"/>
      <c r="V59" s="128"/>
      <c r="W59" s="129"/>
      <c r="X59" s="128"/>
      <c r="Y59" s="101"/>
      <c r="Z59" s="101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101"/>
    </row>
    <row r="60" spans="2:45" ht="15.75">
      <c r="B60" s="101"/>
      <c r="C60" s="6"/>
      <c r="D60" s="6"/>
      <c r="E60" s="6"/>
      <c r="F60" s="6"/>
      <c r="G60" s="6"/>
      <c r="H60" s="6"/>
      <c r="I60" s="6"/>
      <c r="J60" s="6"/>
      <c r="K60" s="6"/>
      <c r="L60" s="102"/>
      <c r="M60" s="111"/>
      <c r="N60" s="112"/>
      <c r="O60" s="130"/>
      <c r="P60" s="130"/>
      <c r="Q60" s="131"/>
      <c r="R60" s="132"/>
      <c r="S60" s="129"/>
      <c r="T60" s="128"/>
      <c r="U60" s="128"/>
      <c r="V60" s="128"/>
      <c r="W60" s="129"/>
      <c r="X60" s="128"/>
      <c r="Y60" s="101"/>
      <c r="Z60" s="101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101"/>
    </row>
    <row r="61" spans="2:45" ht="15.75">
      <c r="B61" s="101"/>
      <c r="C61" s="6"/>
      <c r="D61" s="6"/>
      <c r="E61" s="6"/>
      <c r="F61" s="6"/>
      <c r="G61" s="6"/>
      <c r="H61" s="6"/>
      <c r="I61" s="6"/>
      <c r="J61" s="6"/>
      <c r="K61" s="6"/>
      <c r="L61" s="102"/>
      <c r="N61" s="101"/>
      <c r="O61" s="123"/>
      <c r="P61" s="123"/>
      <c r="Q61" s="131"/>
      <c r="R61" s="132"/>
      <c r="S61" s="129"/>
      <c r="T61" s="6"/>
      <c r="U61" s="128"/>
      <c r="V61" s="128"/>
      <c r="W61" s="129"/>
      <c r="X61" s="128"/>
      <c r="Y61" s="101"/>
      <c r="Z61" s="101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101"/>
    </row>
    <row r="62" spans="2:45" ht="15.75">
      <c r="B62" s="101"/>
      <c r="C62" s="6"/>
      <c r="D62" s="6"/>
      <c r="E62" s="6"/>
      <c r="F62" s="6"/>
      <c r="G62" s="6"/>
      <c r="H62" s="6"/>
      <c r="I62" s="6"/>
      <c r="J62" s="6"/>
      <c r="K62" s="6"/>
      <c r="L62" s="102"/>
      <c r="N62" s="101"/>
      <c r="O62" s="123"/>
      <c r="P62" s="123"/>
      <c r="Q62" s="131"/>
      <c r="R62" s="132"/>
      <c r="S62" s="129"/>
      <c r="T62" s="128"/>
      <c r="U62" s="128"/>
      <c r="V62" s="128"/>
      <c r="W62" s="129"/>
      <c r="X62" s="128"/>
      <c r="Y62" s="101"/>
      <c r="Z62" s="101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101"/>
    </row>
    <row r="63" spans="2:45">
      <c r="B63" s="101"/>
      <c r="C63" s="6"/>
      <c r="D63" s="6"/>
      <c r="E63" s="6"/>
      <c r="F63" s="6"/>
      <c r="G63" s="6"/>
      <c r="H63" s="6"/>
      <c r="I63" s="6"/>
      <c r="J63" s="6"/>
      <c r="K63" s="6"/>
      <c r="L63" s="102"/>
      <c r="N63" s="101"/>
      <c r="O63" s="123"/>
      <c r="P63" s="123"/>
      <c r="Q63" s="123"/>
      <c r="R63" s="123"/>
      <c r="S63" s="123"/>
      <c r="T63" s="123"/>
      <c r="U63" s="134"/>
      <c r="V63" s="123"/>
      <c r="W63" s="123"/>
      <c r="X63" s="123"/>
      <c r="Y63" s="101"/>
      <c r="Z63" s="101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101"/>
    </row>
    <row r="64" spans="2:45">
      <c r="B64" s="101"/>
      <c r="C64" s="6"/>
      <c r="D64" s="6"/>
      <c r="E64" s="6"/>
      <c r="F64" s="6"/>
      <c r="G64" s="6"/>
      <c r="H64" s="6"/>
      <c r="I64" s="6"/>
      <c r="J64" s="6"/>
      <c r="K64" s="6"/>
      <c r="L64" s="102"/>
      <c r="N64" s="101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01"/>
      <c r="Z64" s="101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101"/>
    </row>
    <row r="65" spans="2:45">
      <c r="B65" s="101"/>
      <c r="C65" s="6"/>
      <c r="D65" s="6"/>
      <c r="E65" s="6"/>
      <c r="F65" s="6"/>
      <c r="G65" s="6"/>
      <c r="H65" s="6"/>
      <c r="I65" s="6"/>
      <c r="J65" s="6"/>
      <c r="K65" s="6"/>
      <c r="L65" s="102"/>
      <c r="N65" s="101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01"/>
      <c r="Z65" s="101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101"/>
    </row>
    <row r="66" spans="2:45">
      <c r="B66" s="101"/>
      <c r="C66" s="6"/>
      <c r="D66" s="6"/>
      <c r="E66" s="6"/>
      <c r="F66" s="6"/>
      <c r="G66" s="6"/>
      <c r="H66" s="6"/>
      <c r="I66" s="6"/>
      <c r="J66" s="6"/>
      <c r="K66" s="6"/>
      <c r="L66" s="102"/>
      <c r="N66" s="101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01"/>
      <c r="Z66" s="101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101"/>
    </row>
    <row r="67" spans="2:45">
      <c r="B67" s="101"/>
      <c r="C67" s="6"/>
      <c r="D67" s="6"/>
      <c r="E67" s="6"/>
      <c r="F67" s="6"/>
      <c r="G67" s="6"/>
      <c r="H67" s="6"/>
      <c r="I67" s="6"/>
      <c r="J67" s="6"/>
      <c r="K67" s="6"/>
      <c r="L67" s="102"/>
      <c r="N67" s="101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01"/>
      <c r="Z67" s="101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101"/>
    </row>
    <row r="68" spans="2:45">
      <c r="B68" s="101"/>
      <c r="C68" s="6"/>
      <c r="D68" s="6"/>
      <c r="E68" s="6"/>
      <c r="F68" s="6"/>
      <c r="G68" s="6"/>
      <c r="H68" s="6"/>
      <c r="I68" s="6"/>
      <c r="J68" s="6"/>
      <c r="K68" s="6"/>
      <c r="L68" s="102"/>
      <c r="N68" s="101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01"/>
      <c r="Z68" s="101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101"/>
    </row>
    <row r="69" spans="2:45">
      <c r="B69" s="101"/>
      <c r="C69" s="6"/>
      <c r="D69" s="6"/>
      <c r="E69" s="6"/>
      <c r="F69" s="6"/>
      <c r="G69" s="6"/>
      <c r="H69" s="6"/>
      <c r="I69" s="6"/>
      <c r="J69" s="6"/>
      <c r="K69" s="6"/>
      <c r="L69" s="102"/>
      <c r="N69" s="101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01"/>
      <c r="Z69" s="101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101"/>
    </row>
    <row r="70" spans="2:45">
      <c r="B70" s="101"/>
      <c r="C70" s="6"/>
      <c r="D70" s="6"/>
      <c r="E70" s="6"/>
      <c r="F70" s="6"/>
      <c r="G70" s="6"/>
      <c r="H70" s="6"/>
      <c r="I70" s="6"/>
      <c r="J70" s="6"/>
      <c r="K70" s="6"/>
      <c r="L70" s="102"/>
      <c r="N70" s="101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01"/>
      <c r="Z70" s="101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101"/>
    </row>
    <row r="71" spans="2:45">
      <c r="B71" s="101"/>
      <c r="C71" s="6"/>
      <c r="D71" s="6"/>
      <c r="E71" s="6"/>
      <c r="F71" s="6"/>
      <c r="G71" s="6"/>
      <c r="H71" s="6"/>
      <c r="I71" s="6"/>
      <c r="J71" s="6"/>
      <c r="K71" s="6"/>
      <c r="L71" s="102"/>
      <c r="N71" s="101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01"/>
      <c r="Z71" s="101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101"/>
    </row>
    <row r="72" spans="2:45">
      <c r="B72" s="101"/>
      <c r="C72" s="6"/>
      <c r="D72" s="6"/>
      <c r="E72" s="6"/>
      <c r="F72" s="6"/>
      <c r="G72" s="6"/>
      <c r="H72" s="6"/>
      <c r="I72" s="6"/>
      <c r="J72" s="6"/>
      <c r="K72" s="6"/>
      <c r="L72" s="102"/>
      <c r="N72" s="101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01"/>
      <c r="Z72" s="101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101"/>
    </row>
    <row r="73" spans="2:45">
      <c r="B73" s="101"/>
      <c r="C73" s="6"/>
      <c r="D73" s="6"/>
      <c r="E73" s="6"/>
      <c r="F73" s="6"/>
      <c r="G73" s="6"/>
      <c r="H73" s="6"/>
      <c r="I73" s="6"/>
      <c r="J73" s="6"/>
      <c r="K73" s="6"/>
      <c r="L73" s="102"/>
      <c r="N73" s="101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01"/>
      <c r="Z73" s="101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101"/>
    </row>
    <row r="74" spans="2:45">
      <c r="B74" s="101"/>
      <c r="C74" s="6"/>
      <c r="D74" s="6"/>
      <c r="E74" s="6"/>
      <c r="F74" s="6"/>
      <c r="G74" s="6"/>
      <c r="H74" s="6"/>
      <c r="I74" s="6"/>
      <c r="J74" s="6"/>
      <c r="K74" s="6"/>
      <c r="L74" s="102"/>
      <c r="N74" s="101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01"/>
      <c r="Z74" s="101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101"/>
    </row>
    <row r="75" spans="2:45">
      <c r="B75" s="101"/>
      <c r="C75" s="6"/>
      <c r="D75" s="6"/>
      <c r="E75" s="6"/>
      <c r="F75" s="6"/>
      <c r="G75" s="6"/>
      <c r="H75" s="6"/>
      <c r="I75" s="6"/>
      <c r="J75" s="6"/>
      <c r="K75" s="6"/>
      <c r="L75" s="102"/>
      <c r="N75" s="101"/>
      <c r="O75" s="123"/>
      <c r="P75" s="135"/>
      <c r="Q75" s="135"/>
      <c r="R75" s="135"/>
      <c r="S75" s="135"/>
      <c r="T75" s="135"/>
      <c r="U75" s="135"/>
      <c r="V75" s="135"/>
      <c r="W75" s="135"/>
      <c r="X75" s="135"/>
      <c r="Y75" s="101"/>
      <c r="Z75" s="101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101"/>
    </row>
    <row r="76" spans="2:45">
      <c r="B76" s="101"/>
      <c r="C76" s="6"/>
      <c r="D76" s="6"/>
      <c r="E76" s="6"/>
      <c r="F76" s="6"/>
      <c r="G76" s="6"/>
      <c r="H76" s="6"/>
      <c r="I76" s="6"/>
      <c r="J76" s="6"/>
      <c r="K76" s="6"/>
      <c r="L76" s="102"/>
      <c r="N76" s="101"/>
      <c r="O76" s="123"/>
      <c r="P76" s="135"/>
      <c r="Q76" s="135"/>
      <c r="R76" s="135"/>
      <c r="S76" s="135"/>
      <c r="T76" s="135"/>
      <c r="U76" s="135"/>
      <c r="V76" s="135"/>
      <c r="W76" s="135"/>
      <c r="X76" s="135"/>
      <c r="Y76" s="101"/>
      <c r="Z76" s="101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101"/>
    </row>
    <row r="77" spans="2:45">
      <c r="B77" s="101"/>
      <c r="C77" s="6"/>
      <c r="D77" s="6"/>
      <c r="E77" s="6"/>
      <c r="F77" s="6"/>
      <c r="G77" s="6"/>
      <c r="H77" s="6"/>
      <c r="I77" s="6"/>
      <c r="J77" s="6"/>
      <c r="K77" s="6"/>
      <c r="L77" s="102"/>
      <c r="N77" s="101"/>
      <c r="O77" s="123"/>
      <c r="P77" s="135"/>
      <c r="Q77" s="135"/>
      <c r="R77" s="135"/>
      <c r="S77" s="135"/>
      <c r="T77" s="135"/>
      <c r="U77" s="135"/>
      <c r="V77" s="135"/>
      <c r="W77" s="135"/>
      <c r="X77" s="135"/>
      <c r="Y77" s="101"/>
      <c r="Z77" s="101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101"/>
    </row>
    <row r="78" spans="2:45">
      <c r="B78" s="101"/>
      <c r="C78" s="6"/>
      <c r="D78" s="6"/>
      <c r="E78" s="6"/>
      <c r="F78" s="6"/>
      <c r="G78" s="6"/>
      <c r="H78" s="6"/>
      <c r="I78" s="6"/>
      <c r="J78" s="6"/>
      <c r="K78" s="6"/>
      <c r="L78" s="102"/>
      <c r="N78" s="101"/>
      <c r="O78" s="123"/>
      <c r="P78" s="135"/>
      <c r="Q78" s="135"/>
      <c r="R78" s="135"/>
      <c r="S78" s="135"/>
      <c r="T78" s="135"/>
      <c r="U78" s="135"/>
      <c r="V78" s="135"/>
      <c r="W78" s="135"/>
      <c r="X78" s="135"/>
      <c r="Y78" s="101"/>
      <c r="Z78" s="101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101"/>
    </row>
    <row r="79" spans="2:45">
      <c r="B79" s="101"/>
      <c r="C79" s="6"/>
      <c r="D79" s="6"/>
      <c r="E79" s="6"/>
      <c r="F79" s="6"/>
      <c r="G79" s="6"/>
      <c r="H79" s="6"/>
      <c r="I79" s="6"/>
      <c r="J79" s="6"/>
      <c r="K79" s="6"/>
      <c r="L79" s="102"/>
      <c r="N79" s="101"/>
      <c r="O79" s="123"/>
      <c r="P79" s="135"/>
      <c r="Q79" s="135"/>
      <c r="R79" s="135"/>
      <c r="S79" s="135"/>
      <c r="T79" s="135"/>
      <c r="U79" s="135"/>
      <c r="V79" s="135"/>
      <c r="W79" s="135"/>
      <c r="X79" s="135"/>
      <c r="Y79" s="101"/>
      <c r="Z79" s="101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101"/>
    </row>
    <row r="80" spans="2:45">
      <c r="B80" s="101"/>
      <c r="C80" s="6"/>
      <c r="D80" s="6"/>
      <c r="E80" s="6"/>
      <c r="F80" s="6"/>
      <c r="G80" s="6"/>
      <c r="H80" s="6"/>
      <c r="I80" s="6"/>
      <c r="J80" s="6"/>
      <c r="K80" s="6"/>
      <c r="L80" s="102"/>
      <c r="N80" s="101"/>
      <c r="O80" s="123"/>
      <c r="P80" s="135"/>
      <c r="Q80" s="135"/>
      <c r="R80" s="135"/>
      <c r="S80" s="135"/>
      <c r="T80" s="135"/>
      <c r="U80" s="135"/>
      <c r="V80" s="135"/>
      <c r="W80" s="135"/>
      <c r="X80" s="135"/>
      <c r="Y80" s="101"/>
      <c r="Z80" s="101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101"/>
    </row>
    <row r="81" spans="2:45">
      <c r="B81" s="101"/>
      <c r="C81" s="6"/>
      <c r="D81" s="6"/>
      <c r="E81" s="6"/>
      <c r="F81" s="6"/>
      <c r="G81" s="6"/>
      <c r="H81" s="6"/>
      <c r="I81" s="6"/>
      <c r="J81" s="6"/>
      <c r="K81" s="6"/>
      <c r="L81" s="102"/>
      <c r="N81" s="101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01"/>
      <c r="Z81" s="101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101"/>
    </row>
    <row r="82" spans="2:45">
      <c r="B82" s="101"/>
      <c r="C82" s="6"/>
      <c r="D82" s="6"/>
      <c r="E82" s="6"/>
      <c r="F82" s="6"/>
      <c r="G82" s="6"/>
      <c r="H82" s="6"/>
      <c r="I82" s="6"/>
      <c r="J82" s="6"/>
      <c r="K82" s="6"/>
      <c r="L82" s="102"/>
      <c r="N82" s="101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01"/>
      <c r="Z82" s="101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101"/>
    </row>
    <row r="83" spans="2:45">
      <c r="B83" s="101"/>
      <c r="C83" s="6"/>
      <c r="D83" s="6"/>
      <c r="E83" s="6"/>
      <c r="F83" s="6"/>
      <c r="G83" s="6"/>
      <c r="H83" s="6"/>
      <c r="I83" s="6"/>
      <c r="J83" s="6"/>
      <c r="K83" s="6"/>
      <c r="L83" s="102"/>
      <c r="N83" s="101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01"/>
      <c r="Z83" s="101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101"/>
    </row>
    <row r="84" spans="2:45">
      <c r="B84" s="101"/>
      <c r="C84" s="6"/>
      <c r="D84" s="6"/>
      <c r="E84" s="6"/>
      <c r="F84" s="6"/>
      <c r="G84" s="6"/>
      <c r="H84" s="6"/>
      <c r="I84" s="6"/>
      <c r="J84" s="6"/>
      <c r="K84" s="6"/>
      <c r="L84" s="102"/>
      <c r="N84" s="101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01"/>
      <c r="Z84" s="101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101"/>
    </row>
    <row r="85" spans="2:45">
      <c r="B85" s="101"/>
      <c r="C85" s="6"/>
      <c r="D85" s="6"/>
      <c r="E85" s="6"/>
      <c r="F85" s="6"/>
      <c r="G85" s="6"/>
      <c r="H85" s="6"/>
      <c r="I85" s="6"/>
      <c r="J85" s="6"/>
      <c r="K85" s="6"/>
      <c r="L85" s="102"/>
      <c r="N85" s="101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01"/>
      <c r="Z85" s="101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101"/>
    </row>
    <row r="86" spans="2:45">
      <c r="B86" s="101"/>
      <c r="C86" s="6"/>
      <c r="D86" s="6"/>
      <c r="E86" s="6"/>
      <c r="F86" s="6"/>
      <c r="G86" s="6"/>
      <c r="H86" s="6"/>
      <c r="I86" s="6"/>
      <c r="J86" s="6"/>
      <c r="K86" s="6"/>
      <c r="L86" s="102"/>
      <c r="N86" s="101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01"/>
      <c r="Z86" s="101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101"/>
    </row>
    <row r="87" spans="2:45">
      <c r="B87" s="101"/>
      <c r="C87" s="6"/>
      <c r="D87" s="6"/>
      <c r="E87" s="6"/>
      <c r="F87" s="6"/>
      <c r="G87" s="6"/>
      <c r="H87" s="6"/>
      <c r="I87" s="6"/>
      <c r="J87" s="6"/>
      <c r="K87" s="6"/>
      <c r="L87" s="102"/>
      <c r="N87" s="101"/>
      <c r="O87" s="6"/>
      <c r="P87" s="6"/>
      <c r="Q87" s="6"/>
      <c r="R87" s="6"/>
      <c r="S87" s="6"/>
      <c r="T87" s="6"/>
      <c r="U87" s="6"/>
      <c r="V87" s="6"/>
      <c r="W87" s="6"/>
      <c r="X87" s="6"/>
      <c r="Y87" s="101"/>
      <c r="Z87" s="101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101"/>
    </row>
    <row r="88" spans="2:45">
      <c r="B88" s="101"/>
      <c r="C88" s="6"/>
      <c r="D88" s="6"/>
      <c r="E88" s="6"/>
      <c r="F88" s="6"/>
      <c r="G88" s="6"/>
      <c r="H88" s="6"/>
      <c r="I88" s="6"/>
      <c r="J88" s="6"/>
      <c r="K88" s="6"/>
      <c r="L88" s="102"/>
      <c r="N88" s="101"/>
      <c r="O88" s="6"/>
      <c r="P88" s="6"/>
      <c r="Q88" s="6"/>
      <c r="R88" s="6"/>
      <c r="S88" s="6"/>
      <c r="T88" s="6"/>
      <c r="U88" s="6"/>
      <c r="V88" s="6"/>
      <c r="W88" s="6"/>
      <c r="X88" s="6"/>
      <c r="Y88" s="101"/>
      <c r="Z88" s="101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101"/>
    </row>
    <row r="89" spans="2:45">
      <c r="B89" s="101"/>
      <c r="C89" s="6"/>
      <c r="D89" s="6"/>
      <c r="E89" s="6"/>
      <c r="F89" s="6"/>
      <c r="G89" s="6"/>
      <c r="H89" s="6"/>
      <c r="I89" s="6"/>
      <c r="J89" s="6"/>
      <c r="K89" s="6"/>
      <c r="L89" s="102"/>
      <c r="N89" s="101"/>
      <c r="O89" s="6"/>
      <c r="P89" s="6"/>
      <c r="Q89" s="6"/>
      <c r="R89" s="6"/>
      <c r="S89" s="6"/>
      <c r="T89" s="6"/>
      <c r="U89" s="6"/>
      <c r="V89" s="6"/>
      <c r="W89" s="6"/>
      <c r="X89" s="6"/>
      <c r="Y89" s="101"/>
      <c r="Z89" s="101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101"/>
    </row>
    <row r="90" spans="2:45">
      <c r="B90" s="101"/>
      <c r="C90" s="6"/>
      <c r="D90" s="6"/>
      <c r="E90" s="6"/>
      <c r="F90" s="6"/>
      <c r="G90" s="6"/>
      <c r="H90" s="6"/>
      <c r="I90" s="6"/>
      <c r="J90" s="6"/>
      <c r="K90" s="6"/>
      <c r="L90" s="102"/>
      <c r="N90" s="101"/>
      <c r="O90" s="6"/>
      <c r="P90" s="6"/>
      <c r="Q90" s="6"/>
      <c r="R90" s="6"/>
      <c r="S90" s="6"/>
      <c r="T90" s="6"/>
      <c r="U90" s="6"/>
      <c r="V90" s="6"/>
      <c r="W90" s="6"/>
      <c r="X90" s="6"/>
      <c r="Y90" s="101"/>
      <c r="Z90" s="101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101"/>
    </row>
    <row r="91" spans="2:45">
      <c r="B91" s="101"/>
      <c r="C91" s="6"/>
      <c r="D91" s="6"/>
      <c r="E91" s="6"/>
      <c r="F91" s="6"/>
      <c r="G91" s="6"/>
      <c r="H91" s="6"/>
      <c r="I91" s="6"/>
      <c r="J91" s="6"/>
      <c r="K91" s="6"/>
      <c r="L91" s="102"/>
      <c r="N91" s="101"/>
      <c r="O91" s="6"/>
      <c r="P91" s="6"/>
      <c r="Q91" s="6"/>
      <c r="R91" s="6"/>
      <c r="S91" s="6"/>
      <c r="T91" s="6"/>
      <c r="U91" s="6"/>
      <c r="V91" s="6"/>
      <c r="W91" s="6"/>
      <c r="X91" s="6"/>
      <c r="Y91" s="101"/>
      <c r="Z91" s="101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101"/>
    </row>
    <row r="92" spans="2:45">
      <c r="B92" s="101"/>
      <c r="C92" s="6"/>
      <c r="D92" s="6"/>
      <c r="E92" s="6"/>
      <c r="F92" s="6"/>
      <c r="G92" s="6"/>
      <c r="H92" s="6"/>
      <c r="I92" s="6"/>
      <c r="J92" s="6"/>
      <c r="K92" s="6"/>
      <c r="L92" s="102"/>
      <c r="N92" s="101"/>
      <c r="O92" s="6"/>
      <c r="P92" s="6"/>
      <c r="Q92" s="6"/>
      <c r="R92" s="6"/>
      <c r="S92" s="6"/>
      <c r="T92" s="6"/>
      <c r="U92" s="6"/>
      <c r="V92" s="6"/>
      <c r="W92" s="6"/>
      <c r="X92" s="6"/>
      <c r="Y92" s="101"/>
      <c r="Z92" s="101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101"/>
    </row>
    <row r="93" spans="2:45">
      <c r="B93" s="101"/>
      <c r="C93" s="6"/>
      <c r="D93" s="6"/>
      <c r="E93" s="6"/>
      <c r="F93" s="6"/>
      <c r="G93" s="6"/>
      <c r="H93" s="6"/>
      <c r="I93" s="6"/>
      <c r="J93" s="6"/>
      <c r="K93" s="6"/>
      <c r="L93" s="102"/>
      <c r="N93" s="101"/>
      <c r="O93" s="6"/>
      <c r="P93" s="6"/>
      <c r="Q93" s="6"/>
      <c r="R93" s="6"/>
      <c r="S93" s="6"/>
      <c r="T93" s="6"/>
      <c r="U93" s="6"/>
      <c r="V93" s="6"/>
      <c r="W93" s="6"/>
      <c r="X93" s="6"/>
      <c r="Y93" s="101"/>
      <c r="Z93" s="101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101"/>
    </row>
    <row r="94" spans="2:45">
      <c r="B94" s="101"/>
      <c r="C94" s="6"/>
      <c r="D94" s="6"/>
      <c r="E94" s="6"/>
      <c r="F94" s="6"/>
      <c r="G94" s="6"/>
      <c r="H94" s="6"/>
      <c r="I94" s="6"/>
      <c r="J94" s="6"/>
      <c r="K94" s="6"/>
      <c r="L94" s="102"/>
      <c r="N94" s="101"/>
      <c r="O94" s="6"/>
      <c r="P94" s="6"/>
      <c r="Q94" s="6"/>
      <c r="R94" s="6"/>
      <c r="S94" s="6"/>
      <c r="T94" s="6"/>
      <c r="U94" s="6"/>
      <c r="V94" s="6"/>
      <c r="W94" s="6"/>
      <c r="X94" s="6"/>
      <c r="Y94" s="101"/>
      <c r="Z94" s="101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101"/>
    </row>
    <row r="95" spans="2:45">
      <c r="B95" s="101"/>
      <c r="C95" s="6"/>
      <c r="D95" s="6"/>
      <c r="E95" s="6"/>
      <c r="F95" s="6"/>
      <c r="G95" s="6"/>
      <c r="H95" s="6"/>
      <c r="I95" s="6"/>
      <c r="J95" s="6"/>
      <c r="K95" s="6"/>
      <c r="L95" s="102"/>
      <c r="N95" s="101"/>
      <c r="O95" s="6"/>
      <c r="P95" s="6"/>
      <c r="Q95" s="6"/>
      <c r="R95" s="6"/>
      <c r="S95" s="6"/>
      <c r="T95" s="6"/>
      <c r="U95" s="6"/>
      <c r="V95" s="6"/>
      <c r="W95" s="6"/>
      <c r="X95" s="6"/>
      <c r="Y95" s="101"/>
      <c r="Z95" s="101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101"/>
    </row>
    <row r="96" spans="2:45">
      <c r="B96" s="101"/>
      <c r="C96" s="6"/>
      <c r="D96" s="6"/>
      <c r="E96" s="6"/>
      <c r="F96" s="6"/>
      <c r="G96" s="6"/>
      <c r="H96" s="6"/>
      <c r="I96" s="6"/>
      <c r="J96" s="6"/>
      <c r="K96" s="6"/>
      <c r="L96" s="102"/>
      <c r="N96" s="101"/>
      <c r="O96" s="6"/>
      <c r="P96" s="6"/>
      <c r="Q96" s="6"/>
      <c r="R96" s="6"/>
      <c r="S96" s="6"/>
      <c r="T96" s="6"/>
      <c r="U96" s="6"/>
      <c r="V96" s="6"/>
      <c r="W96" s="6"/>
      <c r="X96" s="6"/>
      <c r="Y96" s="101"/>
      <c r="Z96" s="101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101"/>
    </row>
    <row r="97" spans="2:45">
      <c r="B97" s="101"/>
      <c r="C97" s="6"/>
      <c r="D97" s="6"/>
      <c r="E97" s="6"/>
      <c r="F97" s="6"/>
      <c r="G97" s="6"/>
      <c r="H97" s="6"/>
      <c r="I97" s="6"/>
      <c r="J97" s="6"/>
      <c r="K97" s="6"/>
      <c r="L97" s="102"/>
      <c r="N97" s="101"/>
      <c r="O97" s="6"/>
      <c r="P97" s="6"/>
      <c r="Q97" s="6"/>
      <c r="R97" s="6"/>
      <c r="S97" s="6"/>
      <c r="T97" s="6"/>
      <c r="U97" s="6"/>
      <c r="V97" s="6"/>
      <c r="W97" s="6"/>
      <c r="X97" s="6"/>
      <c r="Y97" s="101"/>
      <c r="Z97" s="101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101"/>
    </row>
    <row r="98" spans="2:45">
      <c r="B98" s="101"/>
      <c r="C98" s="6"/>
      <c r="D98" s="6"/>
      <c r="E98" s="6"/>
      <c r="F98" s="6"/>
      <c r="G98" s="6"/>
      <c r="H98" s="6"/>
      <c r="I98" s="6"/>
      <c r="J98" s="6"/>
      <c r="K98" s="6"/>
      <c r="L98" s="102"/>
      <c r="N98" s="101"/>
      <c r="O98" s="6"/>
      <c r="P98" s="6"/>
      <c r="Q98" s="6"/>
      <c r="R98" s="6"/>
      <c r="S98" s="6"/>
      <c r="T98" s="6"/>
      <c r="U98" s="6"/>
      <c r="V98" s="6"/>
      <c r="W98" s="6"/>
      <c r="X98" s="6"/>
      <c r="Y98" s="101"/>
      <c r="Z98" s="101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101"/>
    </row>
    <row r="99" spans="2:45">
      <c r="B99" s="101"/>
      <c r="C99" s="6"/>
      <c r="D99" s="6"/>
      <c r="E99" s="6"/>
      <c r="F99" s="6"/>
      <c r="G99" s="6"/>
      <c r="H99" s="6"/>
      <c r="I99" s="6"/>
      <c r="J99" s="6"/>
      <c r="K99" s="6"/>
      <c r="L99" s="102"/>
      <c r="N99" s="101"/>
      <c r="O99" s="6"/>
      <c r="P99" s="6"/>
      <c r="Q99" s="6"/>
      <c r="R99" s="6"/>
      <c r="S99" s="6"/>
      <c r="T99" s="6"/>
      <c r="U99" s="6"/>
      <c r="V99" s="6"/>
      <c r="W99" s="6"/>
      <c r="X99" s="6"/>
      <c r="Y99" s="101"/>
      <c r="Z99" s="101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101"/>
    </row>
    <row r="100" spans="2:45">
      <c r="B100" s="101"/>
      <c r="C100" s="6"/>
      <c r="D100" s="6"/>
      <c r="E100" s="6"/>
      <c r="F100" s="6"/>
      <c r="G100" s="6"/>
      <c r="H100" s="6"/>
      <c r="I100" s="6"/>
      <c r="J100" s="6"/>
      <c r="K100" s="6"/>
      <c r="L100" s="102"/>
      <c r="N100" s="10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101"/>
      <c r="Z100" s="101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101"/>
    </row>
    <row r="101" spans="2:45">
      <c r="B101" s="101"/>
      <c r="C101" s="6"/>
      <c r="D101" s="6"/>
      <c r="E101" s="6"/>
      <c r="F101" s="6"/>
      <c r="G101" s="6"/>
      <c r="H101" s="6"/>
      <c r="I101" s="6"/>
      <c r="J101" s="6"/>
      <c r="K101" s="6"/>
      <c r="L101" s="102"/>
      <c r="N101" s="10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101"/>
      <c r="Z101" s="101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101"/>
    </row>
    <row r="102" spans="2:45">
      <c r="B102" s="101"/>
      <c r="C102" s="6"/>
      <c r="D102" s="6"/>
      <c r="E102" s="6"/>
      <c r="F102" s="6"/>
      <c r="G102" s="6"/>
      <c r="H102" s="6"/>
      <c r="I102" s="6"/>
      <c r="J102" s="6"/>
      <c r="K102" s="6"/>
      <c r="L102" s="102"/>
      <c r="N102" s="10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101"/>
      <c r="Z102" s="101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101"/>
    </row>
    <row r="103" spans="2:45">
      <c r="B103" s="101"/>
      <c r="C103" s="6"/>
      <c r="D103" s="6"/>
      <c r="E103" s="6"/>
      <c r="F103" s="6"/>
      <c r="G103" s="6"/>
      <c r="H103" s="6"/>
      <c r="I103" s="6"/>
      <c r="J103" s="6"/>
      <c r="K103" s="6"/>
      <c r="L103" s="102"/>
      <c r="N103" s="10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101"/>
      <c r="Z103" s="101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101"/>
    </row>
    <row r="104" spans="2:45">
      <c r="B104" s="101"/>
      <c r="C104" s="6"/>
      <c r="D104" s="6"/>
      <c r="E104" s="6"/>
      <c r="F104" s="6"/>
      <c r="G104" s="6"/>
      <c r="H104" s="6"/>
      <c r="I104" s="6"/>
      <c r="J104" s="6"/>
      <c r="K104" s="6"/>
      <c r="L104" s="102"/>
      <c r="N104" s="10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101"/>
      <c r="Z104" s="101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101"/>
    </row>
    <row r="105" spans="2:45">
      <c r="B105" s="101"/>
      <c r="C105" s="6"/>
      <c r="D105" s="6"/>
      <c r="E105" s="6"/>
      <c r="F105" s="6"/>
      <c r="G105" s="6"/>
      <c r="H105" s="6"/>
      <c r="I105" s="6"/>
      <c r="J105" s="6"/>
      <c r="K105" s="6"/>
      <c r="L105" s="102"/>
      <c r="N105" s="10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101"/>
      <c r="Z105" s="101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101"/>
    </row>
    <row r="106" spans="2:45">
      <c r="B106" s="101"/>
      <c r="C106" s="6"/>
      <c r="D106" s="6"/>
      <c r="E106" s="6"/>
      <c r="F106" s="6"/>
      <c r="G106" s="6"/>
      <c r="H106" s="6"/>
      <c r="I106" s="6"/>
      <c r="J106" s="6"/>
      <c r="K106" s="6"/>
      <c r="L106" s="102"/>
      <c r="N106" s="10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101"/>
      <c r="Z106" s="101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101"/>
    </row>
    <row r="107" spans="2:45">
      <c r="B107" s="101"/>
      <c r="C107" s="6"/>
      <c r="D107" s="6"/>
      <c r="E107" s="6"/>
      <c r="F107" s="6"/>
      <c r="G107" s="6"/>
      <c r="H107" s="6"/>
      <c r="I107" s="6"/>
      <c r="J107" s="6"/>
      <c r="K107" s="6"/>
      <c r="L107" s="102"/>
      <c r="N107" s="10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101"/>
      <c r="Z107" s="101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101"/>
    </row>
    <row r="108" spans="2:45">
      <c r="B108" s="101"/>
      <c r="C108" s="6"/>
      <c r="D108" s="6"/>
      <c r="E108" s="6"/>
      <c r="F108" s="6"/>
      <c r="G108" s="6"/>
      <c r="H108" s="6"/>
      <c r="I108" s="6"/>
      <c r="J108" s="6"/>
      <c r="K108" s="6"/>
      <c r="L108" s="102"/>
      <c r="N108" s="10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101"/>
      <c r="Z108" s="101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101"/>
    </row>
    <row r="109" spans="2:45">
      <c r="B109" s="101"/>
      <c r="C109" s="6"/>
      <c r="D109" s="6"/>
      <c r="E109" s="6"/>
      <c r="F109" s="6"/>
      <c r="G109" s="6"/>
      <c r="H109" s="6"/>
      <c r="I109" s="6"/>
      <c r="J109" s="6"/>
      <c r="K109" s="6"/>
      <c r="L109" s="102"/>
      <c r="N109" s="10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101"/>
      <c r="Z109" s="101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101"/>
    </row>
    <row r="110" spans="2:45">
      <c r="B110" s="101"/>
      <c r="C110" s="6"/>
      <c r="D110" s="6"/>
      <c r="E110" s="6"/>
      <c r="F110" s="6"/>
      <c r="G110" s="6"/>
      <c r="H110" s="6"/>
      <c r="I110" s="6"/>
      <c r="J110" s="6"/>
      <c r="K110" s="6"/>
      <c r="L110" s="102"/>
      <c r="N110" s="10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101"/>
      <c r="Z110" s="101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101"/>
    </row>
    <row r="111" spans="2:45">
      <c r="B111" s="101"/>
      <c r="C111" s="6"/>
      <c r="D111" s="6"/>
      <c r="E111" s="6"/>
      <c r="F111" s="6"/>
      <c r="G111" s="6"/>
      <c r="H111" s="6"/>
      <c r="I111" s="6"/>
      <c r="J111" s="6"/>
      <c r="K111" s="6"/>
      <c r="L111" s="102"/>
      <c r="N111" s="10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101"/>
      <c r="Z111" s="101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101"/>
    </row>
    <row r="112" spans="2:45">
      <c r="B112" s="101"/>
      <c r="C112" s="6"/>
      <c r="D112" s="6"/>
      <c r="E112" s="6"/>
      <c r="F112" s="6"/>
      <c r="G112" s="6"/>
      <c r="H112" s="6"/>
      <c r="I112" s="6"/>
      <c r="J112" s="6"/>
      <c r="K112" s="6"/>
      <c r="L112" s="102"/>
      <c r="N112" s="10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101"/>
      <c r="Z112" s="101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101"/>
    </row>
    <row r="113" spans="2:45">
      <c r="B113" s="101"/>
      <c r="C113" s="6"/>
      <c r="D113" s="6"/>
      <c r="E113" s="6"/>
      <c r="F113" s="6"/>
      <c r="G113" s="6"/>
      <c r="H113" s="6"/>
      <c r="I113" s="6"/>
      <c r="J113" s="6"/>
      <c r="K113" s="6"/>
      <c r="L113" s="102"/>
      <c r="N113" s="10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101"/>
      <c r="Z113" s="101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101"/>
    </row>
    <row r="114" spans="2:45">
      <c r="B114" s="101"/>
      <c r="C114" s="6"/>
      <c r="D114" s="6"/>
      <c r="E114" s="6"/>
      <c r="F114" s="6"/>
      <c r="G114" s="6"/>
      <c r="H114" s="6"/>
      <c r="I114" s="6"/>
      <c r="J114" s="6"/>
      <c r="K114" s="6"/>
      <c r="L114" s="102"/>
      <c r="N114" s="10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101"/>
      <c r="Z114" s="101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101"/>
    </row>
    <row r="115" spans="2:45">
      <c r="B115" s="101"/>
      <c r="C115" s="6"/>
      <c r="D115" s="6"/>
      <c r="E115" s="6"/>
      <c r="F115" s="6"/>
      <c r="G115" s="6"/>
      <c r="H115" s="6"/>
      <c r="I115" s="6"/>
      <c r="J115" s="6"/>
      <c r="K115" s="6"/>
      <c r="L115" s="102"/>
      <c r="N115" s="10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101"/>
      <c r="Z115" s="101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101"/>
    </row>
    <row r="116" spans="2:45">
      <c r="B116" s="103"/>
      <c r="C116" s="104"/>
      <c r="D116" s="104"/>
      <c r="E116" s="104"/>
      <c r="F116" s="104"/>
      <c r="G116" s="104"/>
      <c r="H116" s="104"/>
      <c r="I116" s="104"/>
      <c r="J116" s="104"/>
      <c r="K116" s="104"/>
      <c r="L116" s="105"/>
      <c r="N116" s="103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1"/>
      <c r="Z116" s="103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1"/>
    </row>
  </sheetData>
  <phoneticPr fontId="19" type="noConversion"/>
  <pageMargins left="0.7" right="0.7" top="0.75" bottom="0.75" header="0.3" footer="0.3"/>
  <pageSetup orientation="portrait" horizontalDpi="90" verticalDpi="90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O65"/>
  <sheetViews>
    <sheetView topLeftCell="A51" workbookViewId="0">
      <selection activeCell="G66" sqref="G66"/>
    </sheetView>
  </sheetViews>
  <sheetFormatPr defaultRowHeight="15"/>
  <cols>
    <col min="2" max="2" width="37.140625" bestFit="1" customWidth="1"/>
    <col min="3" max="3" width="37.28515625" bestFit="1" customWidth="1"/>
    <col min="4" max="4" width="36.85546875" bestFit="1" customWidth="1"/>
    <col min="5" max="5" width="34.7109375" bestFit="1" customWidth="1"/>
    <col min="6" max="6" width="26.28515625" bestFit="1" customWidth="1"/>
    <col min="7" max="7" width="43.7109375" bestFit="1" customWidth="1"/>
    <col min="8" max="9" width="41.42578125" bestFit="1" customWidth="1"/>
    <col min="10" max="10" width="38.5703125" bestFit="1" customWidth="1"/>
    <col min="11" max="11" width="22.7109375" customWidth="1"/>
    <col min="12" max="12" width="26" bestFit="1" customWidth="1"/>
    <col min="13" max="13" width="63.28515625" bestFit="1" customWidth="1"/>
    <col min="14" max="15" width="28.7109375" bestFit="1" customWidth="1"/>
  </cols>
  <sheetData>
    <row r="2" spans="2:15">
      <c r="B2" s="555" t="s">
        <v>178</v>
      </c>
      <c r="C2" s="556" t="s">
        <v>179</v>
      </c>
      <c r="D2" s="556"/>
      <c r="E2" s="556"/>
      <c r="F2" s="556"/>
      <c r="G2" s="556"/>
      <c r="H2" s="556"/>
      <c r="I2" s="556"/>
      <c r="J2" s="556" t="s">
        <v>180</v>
      </c>
      <c r="K2" s="556"/>
      <c r="L2" s="556"/>
      <c r="M2" s="556"/>
      <c r="N2" s="556"/>
      <c r="O2" s="556"/>
    </row>
    <row r="3" spans="2:15" ht="15.75">
      <c r="B3" s="555"/>
      <c r="C3" s="314" t="s">
        <v>495</v>
      </c>
      <c r="D3" s="314" t="s">
        <v>494</v>
      </c>
      <c r="E3" s="314" t="s">
        <v>467</v>
      </c>
      <c r="F3" s="314" t="s">
        <v>468</v>
      </c>
      <c r="G3" s="314" t="s">
        <v>182</v>
      </c>
      <c r="H3" s="314" t="s">
        <v>183</v>
      </c>
      <c r="I3" s="314" t="s">
        <v>469</v>
      </c>
      <c r="J3" s="203" t="s">
        <v>185</v>
      </c>
      <c r="K3" s="203" t="s">
        <v>186</v>
      </c>
      <c r="L3" s="203" t="s">
        <v>187</v>
      </c>
      <c r="M3" s="204" t="s">
        <v>188</v>
      </c>
      <c r="N3" s="204" t="s">
        <v>189</v>
      </c>
      <c r="O3" s="204" t="s">
        <v>190</v>
      </c>
    </row>
    <row r="4" spans="2:15">
      <c r="B4" s="205" t="s">
        <v>191</v>
      </c>
      <c r="C4" s="202" t="s">
        <v>170</v>
      </c>
      <c r="D4" s="202" t="s">
        <v>171</v>
      </c>
      <c r="E4" s="202" t="s">
        <v>172</v>
      </c>
      <c r="F4" s="206" t="s">
        <v>171</v>
      </c>
      <c r="G4" s="206" t="s">
        <v>192</v>
      </c>
      <c r="H4" s="202" t="s">
        <v>192</v>
      </c>
      <c r="I4" s="202" t="s">
        <v>192</v>
      </c>
      <c r="J4" s="202" t="s">
        <v>193</v>
      </c>
      <c r="K4" s="202" t="s">
        <v>194</v>
      </c>
      <c r="L4" s="202" t="s">
        <v>195</v>
      </c>
      <c r="M4" s="206" t="s">
        <v>196</v>
      </c>
      <c r="N4" s="206" t="s">
        <v>197</v>
      </c>
      <c r="O4" s="206" t="s">
        <v>197</v>
      </c>
    </row>
    <row r="5" spans="2:15">
      <c r="B5" s="557" t="s">
        <v>198</v>
      </c>
      <c r="C5" s="558">
        <v>452</v>
      </c>
      <c r="D5" s="202" t="s">
        <v>199</v>
      </c>
      <c r="E5" s="202" t="s">
        <v>200</v>
      </c>
      <c r="F5" s="558">
        <v>213</v>
      </c>
      <c r="G5" s="558">
        <v>340</v>
      </c>
      <c r="H5" s="558">
        <v>300</v>
      </c>
      <c r="I5" s="558">
        <v>312</v>
      </c>
      <c r="J5" s="558">
        <v>120</v>
      </c>
      <c r="K5" s="558">
        <v>200</v>
      </c>
      <c r="L5" s="558">
        <v>250</v>
      </c>
      <c r="M5" s="558" t="s">
        <v>201</v>
      </c>
      <c r="N5" s="558" t="s">
        <v>202</v>
      </c>
      <c r="O5" s="558" t="s">
        <v>202</v>
      </c>
    </row>
    <row r="6" spans="2:15">
      <c r="B6" s="557"/>
      <c r="C6" s="558"/>
      <c r="D6" s="202" t="s">
        <v>203</v>
      </c>
      <c r="E6" s="202" t="s">
        <v>204</v>
      </c>
      <c r="F6" s="558"/>
      <c r="G6" s="558"/>
      <c r="H6" s="558"/>
      <c r="I6" s="558"/>
      <c r="J6" s="558"/>
      <c r="K6" s="558"/>
      <c r="L6" s="558"/>
      <c r="M6" s="558"/>
      <c r="N6" s="558"/>
      <c r="O6" s="558"/>
    </row>
    <row r="7" spans="2:15">
      <c r="B7" s="205" t="s">
        <v>205</v>
      </c>
      <c r="C7" s="207" t="s">
        <v>206</v>
      </c>
      <c r="D7" s="202">
        <v>8</v>
      </c>
      <c r="E7" s="202">
        <v>5</v>
      </c>
      <c r="F7" s="208" t="s">
        <v>206</v>
      </c>
      <c r="G7" s="208" t="s">
        <v>206</v>
      </c>
      <c r="H7" s="207" t="s">
        <v>206</v>
      </c>
      <c r="I7" s="207" t="s">
        <v>206</v>
      </c>
      <c r="J7" s="207" t="s">
        <v>206</v>
      </c>
      <c r="K7" s="207" t="s">
        <v>206</v>
      </c>
      <c r="L7" s="207" t="s">
        <v>206</v>
      </c>
      <c r="M7" s="209" t="s">
        <v>206</v>
      </c>
      <c r="N7" s="208" t="s">
        <v>206</v>
      </c>
      <c r="O7" s="208" t="s">
        <v>206</v>
      </c>
    </row>
    <row r="8" spans="2:15">
      <c r="B8" s="560" t="s">
        <v>207</v>
      </c>
      <c r="C8" s="558" t="s">
        <v>208</v>
      </c>
      <c r="D8" s="202" t="s">
        <v>209</v>
      </c>
      <c r="E8" s="202" t="s">
        <v>210</v>
      </c>
      <c r="F8" s="558" t="s">
        <v>211</v>
      </c>
      <c r="G8" s="558" t="s">
        <v>212</v>
      </c>
      <c r="H8" s="558" t="s">
        <v>213</v>
      </c>
      <c r="I8" s="558" t="s">
        <v>214</v>
      </c>
      <c r="J8" s="561" t="s">
        <v>206</v>
      </c>
      <c r="K8" s="561" t="s">
        <v>206</v>
      </c>
      <c r="L8" s="558" t="s">
        <v>215</v>
      </c>
      <c r="M8" s="559" t="s">
        <v>206</v>
      </c>
      <c r="N8" s="208" t="s">
        <v>206</v>
      </c>
      <c r="O8" s="208" t="s">
        <v>206</v>
      </c>
    </row>
    <row r="9" spans="2:15">
      <c r="B9" s="560"/>
      <c r="C9" s="558"/>
      <c r="D9" s="202" t="s">
        <v>216</v>
      </c>
      <c r="E9" s="202" t="s">
        <v>217</v>
      </c>
      <c r="F9" s="558"/>
      <c r="G9" s="558"/>
      <c r="H9" s="558"/>
      <c r="I9" s="558"/>
      <c r="J9" s="561"/>
      <c r="K9" s="561"/>
      <c r="L9" s="558"/>
      <c r="M9" s="559"/>
      <c r="N9" s="208" t="s">
        <v>206</v>
      </c>
      <c r="O9" s="208" t="s">
        <v>206</v>
      </c>
    </row>
    <row r="10" spans="2:15">
      <c r="B10" s="210" t="s">
        <v>218</v>
      </c>
      <c r="C10" s="208" t="s">
        <v>206</v>
      </c>
      <c r="D10" s="202">
        <v>9.6999999999999993</v>
      </c>
      <c r="E10" s="202">
        <v>10</v>
      </c>
      <c r="F10" s="206">
        <v>9.8000000000000007</v>
      </c>
      <c r="G10" s="208" t="s">
        <v>206</v>
      </c>
      <c r="H10" s="207" t="s">
        <v>206</v>
      </c>
      <c r="I10" s="207" t="s">
        <v>206</v>
      </c>
      <c r="J10" s="207" t="s">
        <v>206</v>
      </c>
      <c r="K10" s="207" t="s">
        <v>206</v>
      </c>
      <c r="L10" s="211">
        <v>8.6</v>
      </c>
      <c r="M10" s="209" t="s">
        <v>219</v>
      </c>
      <c r="N10" s="208" t="s">
        <v>206</v>
      </c>
      <c r="O10" s="208" t="s">
        <v>206</v>
      </c>
    </row>
    <row r="11" spans="2:15">
      <c r="B11" s="205" t="s">
        <v>220</v>
      </c>
      <c r="C11" s="202">
        <v>0.28999999999999998</v>
      </c>
      <c r="D11" s="207" t="s">
        <v>206</v>
      </c>
      <c r="E11" s="207" t="s">
        <v>206</v>
      </c>
      <c r="F11" s="208" t="s">
        <v>206</v>
      </c>
      <c r="G11" s="208" t="s">
        <v>219</v>
      </c>
      <c r="H11" s="207" t="s">
        <v>206</v>
      </c>
      <c r="I11" s="207" t="s">
        <v>206</v>
      </c>
      <c r="J11" s="207" t="s">
        <v>206</v>
      </c>
      <c r="K11" s="207" t="s">
        <v>206</v>
      </c>
      <c r="L11" s="207" t="s">
        <v>206</v>
      </c>
      <c r="M11" s="209" t="s">
        <v>206</v>
      </c>
      <c r="N11" s="208" t="s">
        <v>206</v>
      </c>
      <c r="O11" s="208" t="s">
        <v>206</v>
      </c>
    </row>
    <row r="12" spans="2:15">
      <c r="B12" s="236" t="s">
        <v>221</v>
      </c>
      <c r="C12" s="202">
        <v>167</v>
      </c>
      <c r="D12" s="202" t="s">
        <v>222</v>
      </c>
      <c r="E12" s="202">
        <v>80</v>
      </c>
      <c r="F12" s="206">
        <v>80</v>
      </c>
      <c r="G12" s="206">
        <v>87</v>
      </c>
      <c r="H12" s="202">
        <v>180</v>
      </c>
      <c r="I12" s="207" t="s">
        <v>206</v>
      </c>
      <c r="J12" s="207" t="s">
        <v>206</v>
      </c>
      <c r="K12" s="202">
        <v>80</v>
      </c>
      <c r="L12" s="202">
        <v>96</v>
      </c>
      <c r="M12" s="206">
        <v>75</v>
      </c>
      <c r="N12" s="206" t="s">
        <v>223</v>
      </c>
      <c r="O12" s="206" t="s">
        <v>224</v>
      </c>
    </row>
    <row r="13" spans="2:15">
      <c r="B13" s="560" t="s">
        <v>225</v>
      </c>
      <c r="C13" s="558">
        <v>5</v>
      </c>
      <c r="D13" s="558">
        <v>5</v>
      </c>
      <c r="E13" s="558">
        <v>4</v>
      </c>
      <c r="F13" s="558">
        <v>5</v>
      </c>
      <c r="G13" s="558">
        <v>5</v>
      </c>
      <c r="H13" s="558">
        <v>5</v>
      </c>
      <c r="I13" s="558">
        <v>5</v>
      </c>
      <c r="J13" s="558">
        <v>31</v>
      </c>
      <c r="K13" s="558">
        <v>23</v>
      </c>
      <c r="L13" s="558">
        <v>32</v>
      </c>
      <c r="M13" s="206" t="s">
        <v>226</v>
      </c>
      <c r="N13" s="206" t="s">
        <v>227</v>
      </c>
      <c r="O13" s="206" t="s">
        <v>228</v>
      </c>
    </row>
    <row r="14" spans="2:15">
      <c r="B14" s="560"/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206" t="s">
        <v>229</v>
      </c>
      <c r="N14" s="208" t="s">
        <v>206</v>
      </c>
      <c r="O14" s="208" t="s">
        <v>206</v>
      </c>
    </row>
    <row r="15" spans="2:15">
      <c r="B15" s="560" t="s">
        <v>230</v>
      </c>
      <c r="C15" s="515">
        <v>1685</v>
      </c>
      <c r="D15" s="202" t="s">
        <v>231</v>
      </c>
      <c r="E15" s="202" t="s">
        <v>232</v>
      </c>
      <c r="F15" s="558">
        <v>1590</v>
      </c>
      <c r="G15" s="558" t="s">
        <v>233</v>
      </c>
      <c r="H15" s="515">
        <v>2120</v>
      </c>
      <c r="I15" s="561" t="s">
        <v>206</v>
      </c>
      <c r="J15" s="207" t="s">
        <v>206</v>
      </c>
      <c r="K15" s="558">
        <v>9555</v>
      </c>
      <c r="L15" s="515">
        <v>19700</v>
      </c>
      <c r="M15" s="208" t="s">
        <v>206</v>
      </c>
      <c r="N15" s="208" t="s">
        <v>206</v>
      </c>
      <c r="O15" s="208" t="s">
        <v>206</v>
      </c>
    </row>
    <row r="16" spans="2:15">
      <c r="B16" s="560"/>
      <c r="C16" s="515"/>
      <c r="D16" s="558" t="s">
        <v>234</v>
      </c>
      <c r="E16" s="202" t="s">
        <v>235</v>
      </c>
      <c r="F16" s="558"/>
      <c r="G16" s="558"/>
      <c r="H16" s="515"/>
      <c r="I16" s="561"/>
      <c r="J16" s="207" t="s">
        <v>206</v>
      </c>
      <c r="K16" s="558"/>
      <c r="L16" s="515"/>
      <c r="M16" s="206" t="s">
        <v>236</v>
      </c>
      <c r="N16" s="208" t="s">
        <v>206</v>
      </c>
      <c r="O16" s="208" t="s">
        <v>206</v>
      </c>
    </row>
    <row r="17" spans="2:15">
      <c r="B17" s="560"/>
      <c r="C17" s="515"/>
      <c r="D17" s="558"/>
      <c r="E17" s="202" t="s">
        <v>237</v>
      </c>
      <c r="F17" s="558"/>
      <c r="G17" s="558"/>
      <c r="H17" s="515"/>
      <c r="I17" s="561"/>
      <c r="J17" s="207" t="s">
        <v>206</v>
      </c>
      <c r="K17" s="558"/>
      <c r="L17" s="212"/>
      <c r="M17" s="206" t="s">
        <v>238</v>
      </c>
      <c r="N17" s="208" t="s">
        <v>206</v>
      </c>
      <c r="O17" s="208" t="s">
        <v>206</v>
      </c>
    </row>
    <row r="18" spans="2:15">
      <c r="B18" s="205" t="s">
        <v>239</v>
      </c>
      <c r="C18" s="202" t="s">
        <v>561</v>
      </c>
      <c r="D18" s="202" t="s">
        <v>242</v>
      </c>
      <c r="E18" s="202" t="s">
        <v>242</v>
      </c>
      <c r="F18" s="202" t="s">
        <v>242</v>
      </c>
      <c r="G18" s="202" t="s">
        <v>242</v>
      </c>
      <c r="H18" s="202" t="s">
        <v>242</v>
      </c>
      <c r="I18" s="202" t="s">
        <v>242</v>
      </c>
      <c r="J18" s="202" t="s">
        <v>241</v>
      </c>
      <c r="K18" s="202" t="s">
        <v>243</v>
      </c>
      <c r="L18" s="202" t="s">
        <v>244</v>
      </c>
      <c r="M18" s="206" t="s">
        <v>245</v>
      </c>
      <c r="N18" s="208" t="s">
        <v>206</v>
      </c>
      <c r="O18" s="208" t="s">
        <v>206</v>
      </c>
    </row>
    <row r="19" spans="2:15">
      <c r="B19" s="560" t="s">
        <v>246</v>
      </c>
      <c r="C19" s="558">
        <v>39.200000000000003</v>
      </c>
      <c r="D19" s="202" t="s">
        <v>247</v>
      </c>
      <c r="E19" s="202" t="s">
        <v>248</v>
      </c>
      <c r="F19" s="558">
        <v>21.5</v>
      </c>
      <c r="G19" s="558">
        <v>44.5</v>
      </c>
      <c r="H19" s="558">
        <v>78</v>
      </c>
      <c r="I19" s="558">
        <v>30.2</v>
      </c>
      <c r="J19" s="207" t="s">
        <v>206</v>
      </c>
      <c r="K19" s="207" t="s">
        <v>206</v>
      </c>
      <c r="L19" s="213">
        <v>324</v>
      </c>
      <c r="M19" s="208" t="s">
        <v>206</v>
      </c>
      <c r="N19" s="558">
        <v>16.2</v>
      </c>
      <c r="O19" s="558">
        <v>16.2</v>
      </c>
    </row>
    <row r="20" spans="2:15">
      <c r="B20" s="560"/>
      <c r="C20" s="558"/>
      <c r="D20" s="202" t="s">
        <v>249</v>
      </c>
      <c r="E20" s="202" t="s">
        <v>250</v>
      </c>
      <c r="F20" s="558"/>
      <c r="G20" s="558"/>
      <c r="H20" s="558"/>
      <c r="I20" s="558"/>
      <c r="J20" s="207" t="s">
        <v>206</v>
      </c>
      <c r="K20" s="207" t="s">
        <v>206</v>
      </c>
      <c r="L20" s="207" t="s">
        <v>206</v>
      </c>
      <c r="M20" s="208" t="s">
        <v>206</v>
      </c>
      <c r="N20" s="558"/>
      <c r="O20" s="558"/>
    </row>
    <row r="21" spans="2:15">
      <c r="B21" s="237" t="s">
        <v>251</v>
      </c>
      <c r="C21" s="206" t="s">
        <v>252</v>
      </c>
      <c r="D21" s="207" t="s">
        <v>206</v>
      </c>
      <c r="E21" s="207" t="s">
        <v>206</v>
      </c>
      <c r="F21" s="208" t="s">
        <v>206</v>
      </c>
      <c r="G21" s="206" t="s">
        <v>253</v>
      </c>
      <c r="H21" s="207" t="s">
        <v>206</v>
      </c>
      <c r="I21" s="213" t="s">
        <v>254</v>
      </c>
      <c r="J21" s="207" t="s">
        <v>206</v>
      </c>
      <c r="K21" s="207" t="s">
        <v>206</v>
      </c>
      <c r="L21" s="207" t="s">
        <v>206</v>
      </c>
      <c r="M21" s="208" t="s">
        <v>206</v>
      </c>
      <c r="N21" s="208" t="s">
        <v>206</v>
      </c>
      <c r="O21" s="208" t="s">
        <v>206</v>
      </c>
    </row>
    <row r="22" spans="2:15">
      <c r="B22" s="557" t="s">
        <v>255</v>
      </c>
      <c r="C22" s="558" t="s">
        <v>256</v>
      </c>
      <c r="D22" s="202" t="s">
        <v>257</v>
      </c>
      <c r="E22" s="202" t="s">
        <v>258</v>
      </c>
      <c r="F22" s="558" t="s">
        <v>259</v>
      </c>
      <c r="G22" s="558" t="s">
        <v>260</v>
      </c>
      <c r="H22" s="558" t="s">
        <v>261</v>
      </c>
      <c r="I22" s="558" t="s">
        <v>262</v>
      </c>
      <c r="J22" s="558" t="s">
        <v>263</v>
      </c>
      <c r="K22" s="515" t="s">
        <v>264</v>
      </c>
      <c r="L22" s="558" t="s">
        <v>265</v>
      </c>
      <c r="M22" s="515" t="s">
        <v>266</v>
      </c>
      <c r="N22" s="208" t="s">
        <v>206</v>
      </c>
      <c r="O22" s="208" t="s">
        <v>206</v>
      </c>
    </row>
    <row r="23" spans="2:15">
      <c r="B23" s="557"/>
      <c r="C23" s="558"/>
      <c r="D23" s="202" t="s">
        <v>267</v>
      </c>
      <c r="E23" s="207" t="s">
        <v>268</v>
      </c>
      <c r="F23" s="558"/>
      <c r="G23" s="558"/>
      <c r="H23" s="558"/>
      <c r="I23" s="558"/>
      <c r="J23" s="558"/>
      <c r="K23" s="515"/>
      <c r="L23" s="558"/>
      <c r="M23" s="515"/>
      <c r="N23" s="208" t="s">
        <v>206</v>
      </c>
      <c r="O23" s="208" t="s">
        <v>206</v>
      </c>
    </row>
    <row r="24" spans="2:15">
      <c r="B24" s="562" t="s">
        <v>269</v>
      </c>
      <c r="C24" s="558" t="s">
        <v>270</v>
      </c>
      <c r="D24" s="202" t="s">
        <v>271</v>
      </c>
      <c r="E24" s="202" t="s">
        <v>272</v>
      </c>
      <c r="F24" s="558" t="s">
        <v>273</v>
      </c>
      <c r="G24" s="558" t="s">
        <v>274</v>
      </c>
      <c r="H24" s="561" t="s">
        <v>206</v>
      </c>
      <c r="I24" s="561" t="s">
        <v>206</v>
      </c>
      <c r="J24" s="558" t="s">
        <v>275</v>
      </c>
      <c r="K24" s="561" t="s">
        <v>206</v>
      </c>
      <c r="L24" s="558" t="s">
        <v>276</v>
      </c>
      <c r="M24" s="206" t="s">
        <v>277</v>
      </c>
      <c r="N24" s="208" t="s">
        <v>206</v>
      </c>
      <c r="O24" s="208" t="s">
        <v>206</v>
      </c>
    </row>
    <row r="25" spans="2:15">
      <c r="B25" s="562"/>
      <c r="C25" s="558"/>
      <c r="D25" s="202" t="s">
        <v>278</v>
      </c>
      <c r="E25" s="202" t="s">
        <v>279</v>
      </c>
      <c r="F25" s="558"/>
      <c r="G25" s="558"/>
      <c r="H25" s="561"/>
      <c r="I25" s="561"/>
      <c r="J25" s="558"/>
      <c r="K25" s="561"/>
      <c r="L25" s="558"/>
      <c r="M25" s="206" t="s">
        <v>280</v>
      </c>
      <c r="N25" s="208" t="s">
        <v>206</v>
      </c>
      <c r="O25" s="208" t="s">
        <v>206</v>
      </c>
    </row>
    <row r="26" spans="2:15">
      <c r="B26" s="560" t="s">
        <v>281</v>
      </c>
      <c r="C26" s="214" t="s">
        <v>282</v>
      </c>
      <c r="D26" s="202" t="s">
        <v>283</v>
      </c>
      <c r="E26" s="202" t="s">
        <v>284</v>
      </c>
      <c r="F26" s="206" t="s">
        <v>285</v>
      </c>
      <c r="G26" s="206" t="s">
        <v>286</v>
      </c>
      <c r="H26" s="558" t="s">
        <v>287</v>
      </c>
      <c r="I26" s="558" t="s">
        <v>288</v>
      </c>
      <c r="J26" s="207" t="s">
        <v>206</v>
      </c>
      <c r="K26" s="213" t="s">
        <v>289</v>
      </c>
      <c r="L26" s="202" t="s">
        <v>290</v>
      </c>
      <c r="M26" s="561" t="s">
        <v>206</v>
      </c>
      <c r="N26" s="208" t="s">
        <v>206</v>
      </c>
      <c r="O26" s="208" t="s">
        <v>206</v>
      </c>
    </row>
    <row r="27" spans="2:15">
      <c r="B27" s="560"/>
      <c r="C27" s="558" t="s">
        <v>291</v>
      </c>
      <c r="D27" s="558" t="s">
        <v>292</v>
      </c>
      <c r="E27" s="558" t="s">
        <v>293</v>
      </c>
      <c r="F27" s="206" t="s">
        <v>294</v>
      </c>
      <c r="G27" s="558" t="s">
        <v>295</v>
      </c>
      <c r="H27" s="558"/>
      <c r="I27" s="558"/>
      <c r="J27" s="207" t="s">
        <v>206</v>
      </c>
      <c r="K27" s="207" t="s">
        <v>206</v>
      </c>
      <c r="L27" s="207" t="s">
        <v>206</v>
      </c>
      <c r="M27" s="561"/>
      <c r="N27" s="208" t="s">
        <v>206</v>
      </c>
      <c r="O27" s="208" t="s">
        <v>206</v>
      </c>
    </row>
    <row r="28" spans="2:15">
      <c r="B28" s="560"/>
      <c r="C28" s="558"/>
      <c r="D28" s="558"/>
      <c r="E28" s="558"/>
      <c r="F28" s="206" t="s">
        <v>296</v>
      </c>
      <c r="G28" s="558"/>
      <c r="H28" s="558"/>
      <c r="I28" s="558"/>
      <c r="J28" s="207" t="s">
        <v>206</v>
      </c>
      <c r="K28" s="207" t="s">
        <v>206</v>
      </c>
      <c r="L28" s="207" t="s">
        <v>206</v>
      </c>
      <c r="M28" s="561"/>
      <c r="N28" s="208" t="s">
        <v>206</v>
      </c>
      <c r="O28" s="208" t="s">
        <v>206</v>
      </c>
    </row>
    <row r="29" spans="2:15">
      <c r="B29" s="205" t="s">
        <v>297</v>
      </c>
      <c r="C29" s="202" t="s">
        <v>298</v>
      </c>
      <c r="D29" s="202" t="s">
        <v>299</v>
      </c>
      <c r="E29" s="202" t="s">
        <v>299</v>
      </c>
      <c r="F29" s="206" t="s">
        <v>299</v>
      </c>
      <c r="G29" s="206" t="s">
        <v>300</v>
      </c>
      <c r="H29" s="202" t="s">
        <v>301</v>
      </c>
      <c r="I29" s="202" t="s">
        <v>301</v>
      </c>
      <c r="J29" s="202" t="s">
        <v>302</v>
      </c>
      <c r="K29" s="207" t="s">
        <v>206</v>
      </c>
      <c r="L29" s="213" t="s">
        <v>303</v>
      </c>
      <c r="M29" s="206" t="s">
        <v>304</v>
      </c>
      <c r="N29" s="208" t="s">
        <v>206</v>
      </c>
      <c r="O29" s="208" t="s">
        <v>206</v>
      </c>
    </row>
    <row r="30" spans="2:15">
      <c r="B30" s="236" t="s">
        <v>305</v>
      </c>
      <c r="C30" s="202">
        <v>394.91</v>
      </c>
      <c r="D30" s="202" t="s">
        <v>306</v>
      </c>
      <c r="E30" s="202" t="s">
        <v>307</v>
      </c>
      <c r="F30" s="206" t="s">
        <v>308</v>
      </c>
      <c r="G30" s="206" t="s">
        <v>309</v>
      </c>
      <c r="H30" s="202">
        <v>660</v>
      </c>
      <c r="I30" s="202">
        <v>245</v>
      </c>
      <c r="J30" s="207" t="s">
        <v>206</v>
      </c>
      <c r="K30" s="202">
        <v>1500</v>
      </c>
      <c r="L30" s="202">
        <v>1100</v>
      </c>
      <c r="M30" s="208" t="s">
        <v>206</v>
      </c>
      <c r="N30" s="208" t="s">
        <v>206</v>
      </c>
      <c r="O30" s="208" t="s">
        <v>206</v>
      </c>
    </row>
    <row r="31" spans="2:15">
      <c r="B31" s="557" t="s">
        <v>310</v>
      </c>
      <c r="C31" s="558">
        <v>100</v>
      </c>
      <c r="D31" s="558" t="s">
        <v>311</v>
      </c>
      <c r="E31" s="558" t="s">
        <v>312</v>
      </c>
      <c r="F31" s="558" t="s">
        <v>313</v>
      </c>
      <c r="G31" s="558" t="s">
        <v>314</v>
      </c>
      <c r="H31" s="558">
        <v>300</v>
      </c>
      <c r="I31" s="558">
        <v>95</v>
      </c>
      <c r="J31" s="561" t="s">
        <v>206</v>
      </c>
      <c r="K31" s="558">
        <v>180</v>
      </c>
      <c r="L31" s="558">
        <v>300</v>
      </c>
      <c r="M31" s="206" t="s">
        <v>315</v>
      </c>
      <c r="N31" s="206">
        <v>7.5</v>
      </c>
      <c r="O31" s="206">
        <v>13</v>
      </c>
    </row>
    <row r="32" spans="2:15">
      <c r="B32" s="557"/>
      <c r="C32" s="558"/>
      <c r="D32" s="558"/>
      <c r="E32" s="558"/>
      <c r="F32" s="558"/>
      <c r="G32" s="558"/>
      <c r="H32" s="558"/>
      <c r="I32" s="558"/>
      <c r="J32" s="561"/>
      <c r="K32" s="558"/>
      <c r="L32" s="558"/>
      <c r="M32" s="206" t="s">
        <v>316</v>
      </c>
      <c r="N32" s="208" t="s">
        <v>206</v>
      </c>
      <c r="O32" s="208" t="s">
        <v>206</v>
      </c>
    </row>
    <row r="33" spans="2:15">
      <c r="B33" s="205" t="s">
        <v>317</v>
      </c>
      <c r="C33" s="202" t="s">
        <v>318</v>
      </c>
      <c r="D33" s="202" t="s">
        <v>319</v>
      </c>
      <c r="E33" s="202" t="s">
        <v>320</v>
      </c>
      <c r="F33" s="206" t="s">
        <v>321</v>
      </c>
      <c r="G33" s="206" t="s">
        <v>322</v>
      </c>
      <c r="H33" s="213" t="s">
        <v>323</v>
      </c>
      <c r="I33" s="213" t="s">
        <v>324</v>
      </c>
      <c r="J33" s="207" t="s">
        <v>206</v>
      </c>
      <c r="K33" s="207" t="s">
        <v>206</v>
      </c>
      <c r="L33" s="213" t="s">
        <v>325</v>
      </c>
      <c r="M33" s="208" t="s">
        <v>206</v>
      </c>
      <c r="N33" s="208" t="s">
        <v>206</v>
      </c>
      <c r="O33" s="208" t="s">
        <v>206</v>
      </c>
    </row>
    <row r="34" spans="2:15">
      <c r="B34" s="205" t="s">
        <v>326</v>
      </c>
      <c r="C34" s="202" t="s">
        <v>327</v>
      </c>
      <c r="D34" s="202" t="s">
        <v>328</v>
      </c>
      <c r="E34" s="202" t="s">
        <v>320</v>
      </c>
      <c r="F34" s="206" t="s">
        <v>321</v>
      </c>
      <c r="G34" s="206" t="s">
        <v>329</v>
      </c>
      <c r="H34" s="213" t="s">
        <v>330</v>
      </c>
      <c r="I34" s="207" t="s">
        <v>206</v>
      </c>
      <c r="J34" s="207" t="s">
        <v>206</v>
      </c>
      <c r="K34" s="207" t="s">
        <v>206</v>
      </c>
      <c r="L34" s="207" t="s">
        <v>206</v>
      </c>
      <c r="M34" s="208" t="s">
        <v>206</v>
      </c>
      <c r="N34" s="208" t="s">
        <v>206</v>
      </c>
      <c r="O34" s="208" t="s">
        <v>206</v>
      </c>
    </row>
    <row r="35" spans="2:15">
      <c r="B35" s="205" t="s">
        <v>331</v>
      </c>
      <c r="C35" s="202" t="s">
        <v>332</v>
      </c>
      <c r="D35" s="202" t="s">
        <v>333</v>
      </c>
      <c r="E35" s="202" t="s">
        <v>334</v>
      </c>
      <c r="F35" s="208" t="s">
        <v>206</v>
      </c>
      <c r="G35" s="206" t="s">
        <v>335</v>
      </c>
      <c r="H35" s="213" t="s">
        <v>336</v>
      </c>
      <c r="I35" s="207" t="s">
        <v>206</v>
      </c>
      <c r="J35" s="207" t="s">
        <v>206</v>
      </c>
      <c r="K35" s="207" t="s">
        <v>206</v>
      </c>
      <c r="L35" s="207" t="s">
        <v>206</v>
      </c>
      <c r="M35" s="208" t="s">
        <v>206</v>
      </c>
      <c r="N35" s="208" t="s">
        <v>206</v>
      </c>
      <c r="O35" s="208" t="s">
        <v>206</v>
      </c>
    </row>
    <row r="36" spans="2:15">
      <c r="B36" s="205" t="s">
        <v>337</v>
      </c>
      <c r="C36" s="202" t="s">
        <v>338</v>
      </c>
      <c r="D36" s="202" t="s">
        <v>339</v>
      </c>
      <c r="E36" s="202" t="s">
        <v>338</v>
      </c>
      <c r="F36" s="206" t="s">
        <v>338</v>
      </c>
      <c r="G36" s="215" t="s">
        <v>340</v>
      </c>
      <c r="H36" s="213" t="s">
        <v>338</v>
      </c>
      <c r="I36" s="213" t="s">
        <v>338</v>
      </c>
      <c r="J36" s="207" t="s">
        <v>206</v>
      </c>
      <c r="K36" s="213" t="s">
        <v>338</v>
      </c>
      <c r="L36" s="213" t="s">
        <v>338</v>
      </c>
      <c r="M36" s="206" t="s">
        <v>338</v>
      </c>
      <c r="N36" s="208" t="s">
        <v>206</v>
      </c>
      <c r="O36" s="208" t="s">
        <v>206</v>
      </c>
    </row>
    <row r="37" spans="2:15">
      <c r="B37" s="236" t="s">
        <v>341</v>
      </c>
      <c r="C37" s="202">
        <v>334</v>
      </c>
      <c r="D37" s="202">
        <v>510</v>
      </c>
      <c r="E37" s="202">
        <v>135</v>
      </c>
      <c r="F37" s="206">
        <v>255</v>
      </c>
      <c r="G37" s="206">
        <v>400</v>
      </c>
      <c r="H37" s="202">
        <v>413</v>
      </c>
      <c r="I37" s="213">
        <v>350</v>
      </c>
      <c r="J37" s="207" t="s">
        <v>206</v>
      </c>
      <c r="K37" s="207" t="s">
        <v>206</v>
      </c>
      <c r="L37" s="207" t="s">
        <v>206</v>
      </c>
      <c r="M37" s="208" t="s">
        <v>206</v>
      </c>
      <c r="N37" s="208" t="s">
        <v>206</v>
      </c>
      <c r="O37" s="208" t="s">
        <v>206</v>
      </c>
    </row>
    <row r="38" spans="2:15">
      <c r="B38" s="205" t="s">
        <v>342</v>
      </c>
      <c r="C38" s="202" t="s">
        <v>343</v>
      </c>
      <c r="D38" s="202" t="s">
        <v>344</v>
      </c>
      <c r="E38" s="202" t="s">
        <v>345</v>
      </c>
      <c r="F38" s="206" t="s">
        <v>346</v>
      </c>
      <c r="G38" s="206" t="s">
        <v>346</v>
      </c>
      <c r="H38" s="207" t="s">
        <v>206</v>
      </c>
      <c r="I38" s="207" t="s">
        <v>206</v>
      </c>
      <c r="J38" s="202" t="s">
        <v>347</v>
      </c>
      <c r="K38" s="202" t="s">
        <v>348</v>
      </c>
      <c r="L38" s="207" t="s">
        <v>206</v>
      </c>
      <c r="M38" s="206" t="s">
        <v>349</v>
      </c>
      <c r="N38" s="208" t="s">
        <v>206</v>
      </c>
      <c r="O38" s="208" t="s">
        <v>206</v>
      </c>
    </row>
    <row r="39" spans="2:15">
      <c r="B39" s="205" t="s">
        <v>350</v>
      </c>
      <c r="C39" s="202" t="s">
        <v>351</v>
      </c>
      <c r="D39" s="202" t="s">
        <v>352</v>
      </c>
      <c r="E39" s="202" t="s">
        <v>353</v>
      </c>
      <c r="F39" s="206" t="s">
        <v>354</v>
      </c>
      <c r="G39" s="206" t="s">
        <v>355</v>
      </c>
      <c r="H39" s="207" t="s">
        <v>206</v>
      </c>
      <c r="I39" s="202" t="s">
        <v>351</v>
      </c>
      <c r="J39" s="202" t="s">
        <v>356</v>
      </c>
      <c r="K39" s="202" t="s">
        <v>355</v>
      </c>
      <c r="L39" s="207" t="s">
        <v>206</v>
      </c>
      <c r="M39" s="208" t="s">
        <v>206</v>
      </c>
      <c r="N39" s="208" t="s">
        <v>206</v>
      </c>
      <c r="O39" s="208" t="s">
        <v>206</v>
      </c>
    </row>
    <row r="40" spans="2:15">
      <c r="B40" s="205" t="s">
        <v>357</v>
      </c>
      <c r="C40" s="202" t="s">
        <v>358</v>
      </c>
      <c r="D40" s="202" t="s">
        <v>359</v>
      </c>
      <c r="E40" s="202" t="s">
        <v>360</v>
      </c>
      <c r="F40" s="206" t="s">
        <v>361</v>
      </c>
      <c r="G40" s="215" t="s">
        <v>358</v>
      </c>
      <c r="H40" s="213" t="s">
        <v>362</v>
      </c>
      <c r="I40" s="213" t="s">
        <v>362</v>
      </c>
      <c r="J40" s="207" t="s">
        <v>206</v>
      </c>
      <c r="K40" s="207" t="s">
        <v>206</v>
      </c>
      <c r="L40" s="207" t="s">
        <v>206</v>
      </c>
      <c r="M40" s="215" t="s">
        <v>362</v>
      </c>
      <c r="N40" s="208" t="s">
        <v>206</v>
      </c>
      <c r="O40" s="208" t="s">
        <v>206</v>
      </c>
    </row>
    <row r="41" spans="2:15">
      <c r="B41" s="205" t="s">
        <v>363</v>
      </c>
      <c r="C41" s="207" t="s">
        <v>206</v>
      </c>
      <c r="D41" s="202">
        <v>5.25</v>
      </c>
      <c r="E41" s="202">
        <v>4.34</v>
      </c>
      <c r="F41" s="206">
        <v>5.0999999999999996</v>
      </c>
      <c r="G41" s="208" t="s">
        <v>219</v>
      </c>
      <c r="H41" s="207" t="s">
        <v>206</v>
      </c>
      <c r="I41" s="207" t="s">
        <v>206</v>
      </c>
      <c r="J41" s="207" t="s">
        <v>206</v>
      </c>
      <c r="K41" s="207" t="s">
        <v>206</v>
      </c>
      <c r="L41" s="213">
        <v>13.4</v>
      </c>
      <c r="M41" s="206" t="s">
        <v>364</v>
      </c>
      <c r="N41" s="208" t="s">
        <v>206</v>
      </c>
      <c r="O41" s="208" t="s">
        <v>206</v>
      </c>
    </row>
    <row r="42" spans="2:15">
      <c r="B42" s="210" t="s">
        <v>365</v>
      </c>
      <c r="C42" s="202">
        <v>170</v>
      </c>
      <c r="D42" s="202">
        <v>172</v>
      </c>
      <c r="E42" s="202">
        <v>170</v>
      </c>
      <c r="F42" s="206">
        <v>176</v>
      </c>
      <c r="G42" s="206">
        <v>160</v>
      </c>
      <c r="H42" s="215">
        <v>175</v>
      </c>
      <c r="I42" s="215">
        <v>205</v>
      </c>
      <c r="J42" s="208" t="s">
        <v>206</v>
      </c>
      <c r="K42" s="207" t="s">
        <v>206</v>
      </c>
      <c r="L42" s="206">
        <v>360</v>
      </c>
      <c r="M42" s="206">
        <v>340</v>
      </c>
      <c r="N42" s="208" t="s">
        <v>206</v>
      </c>
      <c r="O42" s="208" t="s">
        <v>206</v>
      </c>
    </row>
    <row r="43" spans="2:15">
      <c r="B43" s="205" t="s">
        <v>366</v>
      </c>
      <c r="C43" s="202" t="s">
        <v>367</v>
      </c>
      <c r="D43" s="202" t="s">
        <v>368</v>
      </c>
      <c r="E43" s="202" t="s">
        <v>369</v>
      </c>
      <c r="F43" s="206" t="s">
        <v>367</v>
      </c>
      <c r="G43" s="206" t="s">
        <v>367</v>
      </c>
      <c r="H43" s="207" t="s">
        <v>206</v>
      </c>
      <c r="I43" s="207" t="s">
        <v>206</v>
      </c>
      <c r="J43" s="207" t="s">
        <v>206</v>
      </c>
      <c r="K43" s="213" t="s">
        <v>370</v>
      </c>
      <c r="L43" s="213" t="s">
        <v>371</v>
      </c>
      <c r="M43" s="206" t="s">
        <v>372</v>
      </c>
      <c r="N43" s="208" t="s">
        <v>206</v>
      </c>
      <c r="O43" s="208" t="s">
        <v>206</v>
      </c>
    </row>
    <row r="44" spans="2:15">
      <c r="B44" s="205" t="s">
        <v>373</v>
      </c>
      <c r="C44" s="202" t="s">
        <v>374</v>
      </c>
      <c r="D44" s="202" t="s">
        <v>374</v>
      </c>
      <c r="E44" s="202" t="s">
        <v>374</v>
      </c>
      <c r="F44" s="206" t="s">
        <v>374</v>
      </c>
      <c r="G44" s="206" t="s">
        <v>374</v>
      </c>
      <c r="H44" s="207" t="s">
        <v>206</v>
      </c>
      <c r="I44" s="207" t="s">
        <v>206</v>
      </c>
      <c r="J44" s="202" t="s">
        <v>375</v>
      </c>
      <c r="K44" s="207" t="s">
        <v>206</v>
      </c>
      <c r="L44" s="207" t="s">
        <v>206</v>
      </c>
      <c r="M44" s="208" t="s">
        <v>206</v>
      </c>
      <c r="N44" s="208" t="s">
        <v>206</v>
      </c>
      <c r="O44" s="208" t="s">
        <v>206</v>
      </c>
    </row>
    <row r="45" spans="2:15">
      <c r="B45" s="205" t="s">
        <v>376</v>
      </c>
      <c r="C45" s="207" t="s">
        <v>206</v>
      </c>
      <c r="D45" s="207" t="s">
        <v>206</v>
      </c>
      <c r="E45" s="207" t="s">
        <v>206</v>
      </c>
      <c r="F45" s="208" t="s">
        <v>206</v>
      </c>
      <c r="G45" s="208" t="s">
        <v>206</v>
      </c>
      <c r="H45" s="207" t="s">
        <v>206</v>
      </c>
      <c r="I45" s="207" t="s">
        <v>206</v>
      </c>
      <c r="J45" s="207" t="s">
        <v>206</v>
      </c>
      <c r="K45" s="207" t="s">
        <v>206</v>
      </c>
      <c r="L45" s="207" t="s">
        <v>206</v>
      </c>
      <c r="M45" s="208" t="s">
        <v>206</v>
      </c>
      <c r="N45" s="208" t="s">
        <v>206</v>
      </c>
      <c r="O45" s="208" t="s">
        <v>206</v>
      </c>
    </row>
    <row r="46" spans="2:15">
      <c r="B46" s="199"/>
      <c r="C46" s="199"/>
      <c r="D46" s="199"/>
      <c r="E46" s="199"/>
      <c r="F46" s="216"/>
      <c r="G46" s="216"/>
      <c r="H46" s="199"/>
      <c r="I46" s="199"/>
      <c r="J46" s="199"/>
      <c r="K46" s="199"/>
      <c r="L46" s="199"/>
      <c r="M46" s="216"/>
      <c r="N46" s="216"/>
      <c r="O46" s="216"/>
    </row>
    <row r="47" spans="2:15">
      <c r="B47" s="199"/>
      <c r="C47" s="199"/>
      <c r="D47" s="199"/>
      <c r="E47" s="199"/>
      <c r="F47" s="216"/>
      <c r="G47" s="216"/>
      <c r="H47" s="199"/>
      <c r="I47" s="199"/>
      <c r="J47" s="199"/>
      <c r="K47" s="199"/>
      <c r="L47" s="199"/>
      <c r="M47" s="216"/>
      <c r="N47" s="216"/>
      <c r="O47" s="216"/>
    </row>
    <row r="48" spans="2:15" ht="30">
      <c r="B48" s="217" t="s">
        <v>377</v>
      </c>
      <c r="C48" s="221" t="s">
        <v>388</v>
      </c>
      <c r="D48" s="218"/>
      <c r="E48" s="218"/>
      <c r="F48" s="219"/>
      <c r="G48" s="216"/>
      <c r="H48" s="199"/>
      <c r="I48" s="199"/>
      <c r="J48" s="199"/>
      <c r="K48" s="199"/>
      <c r="L48" s="199"/>
      <c r="M48" s="216"/>
      <c r="N48" s="216"/>
      <c r="O48" s="216"/>
    </row>
    <row r="49" spans="2:15">
      <c r="B49" s="217" t="s">
        <v>378</v>
      </c>
      <c r="C49" s="222" t="s">
        <v>387</v>
      </c>
      <c r="D49" s="218"/>
      <c r="E49" s="218"/>
      <c r="F49" s="219"/>
      <c r="G49" s="216"/>
      <c r="H49" s="199"/>
      <c r="I49" s="199"/>
      <c r="J49" s="199"/>
      <c r="K49" s="199"/>
      <c r="L49" s="199"/>
      <c r="M49" s="216"/>
      <c r="N49" s="216"/>
      <c r="O49" s="216"/>
    </row>
    <row r="50" spans="2:15" ht="45">
      <c r="B50" s="217" t="s">
        <v>379</v>
      </c>
      <c r="C50" s="223" t="s">
        <v>389</v>
      </c>
      <c r="D50" s="218"/>
      <c r="E50" s="218"/>
      <c r="F50" s="219"/>
      <c r="G50" s="216"/>
      <c r="H50" s="199"/>
      <c r="I50" s="199"/>
      <c r="J50" s="199"/>
      <c r="K50" s="199"/>
      <c r="L50" s="199"/>
      <c r="M50" s="216"/>
      <c r="N50" s="216"/>
      <c r="O50" s="216"/>
    </row>
    <row r="51" spans="2:15" ht="30">
      <c r="B51" s="220" t="s">
        <v>380</v>
      </c>
      <c r="C51" s="223" t="s">
        <v>385</v>
      </c>
      <c r="D51" s="218"/>
      <c r="E51" s="218"/>
      <c r="F51" s="219"/>
      <c r="G51" s="216"/>
      <c r="H51" s="199"/>
      <c r="I51" s="199"/>
      <c r="J51" s="199"/>
      <c r="K51" s="199"/>
      <c r="L51" s="199"/>
      <c r="M51" s="216"/>
      <c r="N51" s="216"/>
      <c r="O51" s="216"/>
    </row>
    <row r="52" spans="2:15" ht="60">
      <c r="B52" s="217" t="s">
        <v>381</v>
      </c>
      <c r="C52" s="223" t="s">
        <v>386</v>
      </c>
      <c r="D52" s="218"/>
      <c r="E52" s="218"/>
      <c r="F52" s="219"/>
      <c r="G52" s="216"/>
      <c r="H52" s="199"/>
      <c r="I52" s="199"/>
      <c r="J52" s="199"/>
      <c r="K52" s="199"/>
      <c r="L52" s="199"/>
      <c r="M52" s="216"/>
      <c r="N52" s="216"/>
      <c r="O52" s="216"/>
    </row>
    <row r="53" spans="2:15">
      <c r="B53" s="217" t="s">
        <v>382</v>
      </c>
      <c r="C53" s="224" t="s">
        <v>390</v>
      </c>
      <c r="D53" s="218"/>
      <c r="E53" s="218"/>
      <c r="F53" s="219"/>
      <c r="G53" s="216"/>
      <c r="H53" s="199"/>
      <c r="I53" s="199"/>
      <c r="J53" s="199"/>
      <c r="K53" s="199"/>
      <c r="L53" s="199"/>
      <c r="M53" s="216"/>
      <c r="N53" s="216"/>
      <c r="O53" s="216"/>
    </row>
    <row r="54" spans="2:15">
      <c r="B54" s="217" t="s">
        <v>383</v>
      </c>
      <c r="C54" s="225" t="s">
        <v>391</v>
      </c>
      <c r="D54" s="218"/>
      <c r="E54" s="218"/>
      <c r="F54" s="219"/>
      <c r="G54" s="216"/>
      <c r="H54" s="199"/>
      <c r="I54" s="199"/>
      <c r="J54" s="199"/>
      <c r="K54" s="199"/>
      <c r="L54" s="199"/>
      <c r="M54" s="216"/>
      <c r="N54" s="216"/>
      <c r="O54" s="216"/>
    </row>
    <row r="55" spans="2:15" ht="30">
      <c r="B55" s="217" t="s">
        <v>384</v>
      </c>
      <c r="C55" s="223" t="s">
        <v>392</v>
      </c>
      <c r="D55" s="218"/>
      <c r="E55" s="218"/>
      <c r="F55" s="219"/>
      <c r="G55" s="216"/>
      <c r="H55" s="199"/>
      <c r="I55" s="199"/>
      <c r="J55" s="199"/>
      <c r="K55" s="199"/>
      <c r="L55" s="199"/>
      <c r="M55" s="216"/>
      <c r="N55" s="216"/>
      <c r="O55" s="216"/>
    </row>
    <row r="56" spans="2:15">
      <c r="C56" s="4"/>
      <c r="D56" s="4"/>
      <c r="E56" s="4"/>
      <c r="F56" s="4"/>
    </row>
    <row r="57" spans="2:15">
      <c r="B57" s="315"/>
      <c r="C57" s="317" t="s">
        <v>198</v>
      </c>
      <c r="D57" s="317" t="s">
        <v>207</v>
      </c>
      <c r="E57" s="317" t="s">
        <v>221</v>
      </c>
      <c r="F57" s="317" t="s">
        <v>239</v>
      </c>
      <c r="G57" s="317" t="s">
        <v>255</v>
      </c>
      <c r="H57" s="317" t="s">
        <v>269</v>
      </c>
      <c r="I57" s="317" t="s">
        <v>281</v>
      </c>
      <c r="J57" s="317" t="s">
        <v>317</v>
      </c>
      <c r="K57" s="317" t="s">
        <v>326</v>
      </c>
      <c r="L57" s="317" t="s">
        <v>331</v>
      </c>
      <c r="M57" s="317" t="s">
        <v>484</v>
      </c>
    </row>
    <row r="58" spans="2:15" ht="15.75">
      <c r="B58" s="314" t="s">
        <v>495</v>
      </c>
      <c r="C58" s="298">
        <v>452</v>
      </c>
      <c r="D58" s="298" t="s">
        <v>208</v>
      </c>
      <c r="E58" s="202">
        <v>167</v>
      </c>
      <c r="F58" s="202" t="s">
        <v>561</v>
      </c>
      <c r="G58" s="230">
        <v>57</v>
      </c>
      <c r="H58" s="320">
        <v>370</v>
      </c>
      <c r="I58" s="323">
        <v>2371858</v>
      </c>
      <c r="J58" s="202" t="s">
        <v>318</v>
      </c>
      <c r="K58" s="322" t="s">
        <v>327</v>
      </c>
      <c r="L58" s="319" t="s">
        <v>332</v>
      </c>
      <c r="M58" s="298">
        <v>3</v>
      </c>
    </row>
    <row r="59" spans="2:15" ht="30">
      <c r="B59" s="316" t="s">
        <v>494</v>
      </c>
      <c r="C59" s="312">
        <v>125</v>
      </c>
      <c r="D59" s="318" t="s">
        <v>525</v>
      </c>
      <c r="E59" s="202" t="s">
        <v>222</v>
      </c>
      <c r="F59" s="202" t="s">
        <v>242</v>
      </c>
      <c r="G59" s="318">
        <v>85</v>
      </c>
      <c r="H59" s="321">
        <v>600</v>
      </c>
      <c r="I59" s="323">
        <f xml:space="preserve"> 20.88 *100000</f>
        <v>2088000</v>
      </c>
      <c r="J59" s="202" t="s">
        <v>319</v>
      </c>
      <c r="K59" s="322" t="s">
        <v>328</v>
      </c>
      <c r="L59" s="319" t="s">
        <v>333</v>
      </c>
      <c r="M59" s="298">
        <v>4</v>
      </c>
    </row>
    <row r="60" spans="2:15" ht="30">
      <c r="B60" s="316" t="s">
        <v>467</v>
      </c>
      <c r="C60" s="312">
        <v>125</v>
      </c>
      <c r="D60" s="318" t="s">
        <v>526</v>
      </c>
      <c r="E60" s="202">
        <v>80</v>
      </c>
      <c r="F60" s="202" t="s">
        <v>242</v>
      </c>
      <c r="G60" s="230">
        <v>95</v>
      </c>
      <c r="H60" s="322">
        <v>400</v>
      </c>
      <c r="I60" s="323">
        <f>35*100000</f>
        <v>3500000</v>
      </c>
      <c r="J60" s="202" t="s">
        <v>320</v>
      </c>
      <c r="K60" s="322" t="s">
        <v>320</v>
      </c>
      <c r="L60" s="319" t="s">
        <v>334</v>
      </c>
      <c r="M60" s="298">
        <v>5</v>
      </c>
    </row>
    <row r="61" spans="2:15" ht="15.75">
      <c r="B61" s="314" t="s">
        <v>468</v>
      </c>
      <c r="C61" s="298">
        <v>213</v>
      </c>
      <c r="D61" s="298" t="s">
        <v>211</v>
      </c>
      <c r="E61" s="298">
        <v>80</v>
      </c>
      <c r="F61" s="202" t="s">
        <v>242</v>
      </c>
      <c r="G61" s="298">
        <v>120</v>
      </c>
      <c r="H61" s="322">
        <v>690</v>
      </c>
      <c r="I61" s="323">
        <f>15*100000</f>
        <v>1500000</v>
      </c>
      <c r="J61" s="298" t="s">
        <v>321</v>
      </c>
      <c r="K61" s="322" t="s">
        <v>321</v>
      </c>
      <c r="L61" s="322" t="s">
        <v>206</v>
      </c>
      <c r="M61" s="298">
        <v>3.5</v>
      </c>
    </row>
    <row r="62" spans="2:15" ht="15.75">
      <c r="B62" s="314" t="s">
        <v>182</v>
      </c>
      <c r="C62" s="298">
        <v>340</v>
      </c>
      <c r="D62" s="298" t="s">
        <v>212</v>
      </c>
      <c r="E62" s="298">
        <v>87</v>
      </c>
      <c r="F62" s="202" t="s">
        <v>242</v>
      </c>
      <c r="G62" s="298">
        <v>50</v>
      </c>
      <c r="H62" s="322">
        <v>420</v>
      </c>
      <c r="I62" s="323">
        <v>1015521</v>
      </c>
      <c r="J62" s="298" t="s">
        <v>322</v>
      </c>
      <c r="K62" s="322" t="s">
        <v>329</v>
      </c>
      <c r="L62" s="322" t="s">
        <v>335</v>
      </c>
      <c r="M62" s="298">
        <v>4.5</v>
      </c>
    </row>
    <row r="63" spans="2:15" ht="15.75">
      <c r="B63" s="314" t="s">
        <v>183</v>
      </c>
      <c r="C63" s="298">
        <v>300</v>
      </c>
      <c r="D63" s="298" t="s">
        <v>213</v>
      </c>
      <c r="E63" s="202">
        <v>180</v>
      </c>
      <c r="F63" s="202" t="s">
        <v>242</v>
      </c>
      <c r="G63" s="298">
        <v>40</v>
      </c>
      <c r="H63" s="322">
        <f>(MAX(H58:H62)/MAX(G58:G62))*G63</f>
        <v>230</v>
      </c>
      <c r="I63" s="323">
        <v>1054175</v>
      </c>
      <c r="J63" s="213" t="s">
        <v>323</v>
      </c>
      <c r="K63" s="322" t="s">
        <v>330</v>
      </c>
      <c r="L63" s="319" t="s">
        <v>336</v>
      </c>
      <c r="M63" s="298">
        <v>3</v>
      </c>
    </row>
    <row r="64" spans="2:15" ht="15.75">
      <c r="B64" s="314" t="s">
        <v>469</v>
      </c>
      <c r="C64" s="298">
        <v>312</v>
      </c>
      <c r="D64" s="298" t="s">
        <v>214</v>
      </c>
      <c r="E64" s="319" t="s">
        <v>206</v>
      </c>
      <c r="F64" s="307" t="s">
        <v>242</v>
      </c>
      <c r="G64" s="298">
        <v>60</v>
      </c>
      <c r="H64" s="322">
        <f>(MAX(H58:H63)/MAX(G58:G63))*G64</f>
        <v>345</v>
      </c>
      <c r="I64" s="323">
        <v>757425</v>
      </c>
      <c r="J64" s="213" t="s">
        <v>324</v>
      </c>
      <c r="K64" s="322" t="s">
        <v>206</v>
      </c>
      <c r="L64" s="319" t="s">
        <v>206</v>
      </c>
      <c r="M64" s="298">
        <v>4</v>
      </c>
    </row>
    <row r="65" spans="6:6">
      <c r="F65" s="313"/>
    </row>
  </sheetData>
  <mergeCells count="91">
    <mergeCell ref="G31:G32"/>
    <mergeCell ref="L24:L25"/>
    <mergeCell ref="B26:B28"/>
    <mergeCell ref="H26:H28"/>
    <mergeCell ref="I26:I28"/>
    <mergeCell ref="B31:B32"/>
    <mergeCell ref="C31:C32"/>
    <mergeCell ref="D31:D32"/>
    <mergeCell ref="E31:E32"/>
    <mergeCell ref="F31:F32"/>
    <mergeCell ref="H31:H32"/>
    <mergeCell ref="I31:I32"/>
    <mergeCell ref="J31:J32"/>
    <mergeCell ref="K31:K32"/>
    <mergeCell ref="L31:L32"/>
    <mergeCell ref="I24:I25"/>
    <mergeCell ref="J24:J25"/>
    <mergeCell ref="K24:K25"/>
    <mergeCell ref="M26:M28"/>
    <mergeCell ref="C27:C28"/>
    <mergeCell ref="D27:D28"/>
    <mergeCell ref="E27:E28"/>
    <mergeCell ref="G27:G28"/>
    <mergeCell ref="B24:B25"/>
    <mergeCell ref="C24:C25"/>
    <mergeCell ref="F24:F25"/>
    <mergeCell ref="G24:G25"/>
    <mergeCell ref="H24:H25"/>
    <mergeCell ref="N19:N20"/>
    <mergeCell ref="O19:O20"/>
    <mergeCell ref="B22:B23"/>
    <mergeCell ref="C22:C23"/>
    <mergeCell ref="F22:F23"/>
    <mergeCell ref="G22:G23"/>
    <mergeCell ref="H22:H23"/>
    <mergeCell ref="I22:I23"/>
    <mergeCell ref="J22:J23"/>
    <mergeCell ref="K22:K23"/>
    <mergeCell ref="L22:L23"/>
    <mergeCell ref="M22:M23"/>
    <mergeCell ref="K15:K17"/>
    <mergeCell ref="L15:L16"/>
    <mergeCell ref="D16:D17"/>
    <mergeCell ref="B19:B20"/>
    <mergeCell ref="C19:C20"/>
    <mergeCell ref="F19:F20"/>
    <mergeCell ref="G19:G20"/>
    <mergeCell ref="H19:H20"/>
    <mergeCell ref="I19:I20"/>
    <mergeCell ref="B15:B17"/>
    <mergeCell ref="C15:C17"/>
    <mergeCell ref="F15:F17"/>
    <mergeCell ref="G15:G17"/>
    <mergeCell ref="H15:H17"/>
    <mergeCell ref="I15:I17"/>
    <mergeCell ref="G13:G14"/>
    <mergeCell ref="H13:H14"/>
    <mergeCell ref="I13:I14"/>
    <mergeCell ref="J13:J14"/>
    <mergeCell ref="K13:K14"/>
    <mergeCell ref="M8:M9"/>
    <mergeCell ref="B13:B14"/>
    <mergeCell ref="C13:C14"/>
    <mergeCell ref="D13:D14"/>
    <mergeCell ref="E13:E14"/>
    <mergeCell ref="F13:F14"/>
    <mergeCell ref="B8:B9"/>
    <mergeCell ref="C8:C9"/>
    <mergeCell ref="F8:F9"/>
    <mergeCell ref="G8:G9"/>
    <mergeCell ref="H8:H9"/>
    <mergeCell ref="L13:L14"/>
    <mergeCell ref="I8:I9"/>
    <mergeCell ref="J8:J9"/>
    <mergeCell ref="K8:K9"/>
    <mergeCell ref="L8:L9"/>
    <mergeCell ref="B2:B3"/>
    <mergeCell ref="C2:I2"/>
    <mergeCell ref="J2:O2"/>
    <mergeCell ref="B5:B6"/>
    <mergeCell ref="C5:C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O5:O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G31"/>
  <sheetViews>
    <sheetView topLeftCell="AN1" workbookViewId="0">
      <selection activeCell="AR6" sqref="AR6"/>
    </sheetView>
  </sheetViews>
  <sheetFormatPr defaultRowHeight="15"/>
  <cols>
    <col min="2" max="2" width="5.7109375" bestFit="1" customWidth="1"/>
    <col min="3" max="3" width="19.42578125" bestFit="1" customWidth="1"/>
    <col min="4" max="4" width="15.42578125" customWidth="1"/>
    <col min="5" max="5" width="20.42578125" customWidth="1"/>
    <col min="6" max="6" width="14.85546875" customWidth="1"/>
    <col min="7" max="7" width="19.7109375" bestFit="1" customWidth="1"/>
    <col min="8" max="8" width="19.7109375" customWidth="1"/>
    <col min="9" max="9" width="15.7109375" customWidth="1"/>
    <col min="10" max="10" width="20.42578125" customWidth="1"/>
    <col min="11" max="11" width="14.5703125" customWidth="1"/>
    <col min="12" max="13" width="17.42578125" customWidth="1"/>
    <col min="14" max="14" width="7.5703125" customWidth="1"/>
    <col min="15" max="16" width="8.140625" customWidth="1"/>
    <col min="17" max="17" width="7.7109375" customWidth="1"/>
    <col min="18" max="18" width="7.42578125" customWidth="1"/>
    <col min="19" max="19" width="7.5703125" style="332" customWidth="1"/>
    <col min="20" max="20" width="8.28515625" customWidth="1"/>
    <col min="21" max="21" width="8.85546875" customWidth="1"/>
    <col min="22" max="22" width="8.28515625" customWidth="1"/>
    <col min="23" max="23" width="8.42578125" customWidth="1"/>
    <col min="24" max="24" width="8.7109375" customWidth="1"/>
    <col min="25" max="25" width="7.42578125" style="332" customWidth="1"/>
    <col min="26" max="26" width="8.5703125" customWidth="1"/>
    <col min="27" max="27" width="7.7109375" customWidth="1"/>
    <col min="28" max="28" width="8.28515625" customWidth="1"/>
    <col min="29" max="29" width="8.42578125" customWidth="1"/>
    <col min="30" max="30" width="9" customWidth="1"/>
    <col min="31" max="31" width="6.7109375" style="332" customWidth="1"/>
    <col min="32" max="32" width="13.140625" customWidth="1"/>
    <col min="33" max="33" width="15.85546875" customWidth="1"/>
    <col min="34" max="34" width="8" bestFit="1" customWidth="1"/>
    <col min="35" max="35" width="4.85546875" bestFit="1" customWidth="1"/>
    <col min="36" max="36" width="15.5703125" bestFit="1" customWidth="1"/>
    <col min="37" max="37" width="20" customWidth="1"/>
    <col min="38" max="38" width="22.85546875" customWidth="1"/>
    <col min="39" max="39" width="17.5703125" customWidth="1"/>
    <col min="40" max="40" width="14.5703125" bestFit="1" customWidth="1"/>
    <col min="41" max="41" width="12.7109375" bestFit="1" customWidth="1"/>
    <col min="42" max="42" width="5.85546875" bestFit="1" customWidth="1"/>
    <col min="43" max="43" width="8.140625" bestFit="1" customWidth="1"/>
    <col min="44" max="44" width="7.140625" bestFit="1" customWidth="1"/>
    <col min="51" max="51" width="10.85546875" customWidth="1"/>
  </cols>
  <sheetData>
    <row r="2" spans="2:59" ht="30" customHeight="1">
      <c r="B2" s="226" t="s">
        <v>393</v>
      </c>
      <c r="C2" s="226" t="s">
        <v>394</v>
      </c>
      <c r="D2" s="226" t="s">
        <v>395</v>
      </c>
      <c r="E2" s="226" t="s">
        <v>396</v>
      </c>
      <c r="F2" s="227" t="s">
        <v>397</v>
      </c>
      <c r="G2" s="227" t="s">
        <v>406</v>
      </c>
      <c r="H2" s="227" t="s">
        <v>555</v>
      </c>
      <c r="I2" s="226" t="s">
        <v>398</v>
      </c>
      <c r="J2" s="226" t="s">
        <v>554</v>
      </c>
      <c r="K2" s="226" t="s">
        <v>484</v>
      </c>
      <c r="L2" s="228" t="s">
        <v>531</v>
      </c>
      <c r="M2" s="228" t="s">
        <v>532</v>
      </c>
      <c r="N2" s="228" t="s">
        <v>546</v>
      </c>
      <c r="O2" s="228" t="s">
        <v>547</v>
      </c>
      <c r="P2" s="228" t="s">
        <v>548</v>
      </c>
      <c r="Q2" s="228" t="s">
        <v>549</v>
      </c>
      <c r="R2" s="337" t="s">
        <v>550</v>
      </c>
      <c r="S2" s="340"/>
      <c r="T2" s="228" t="s">
        <v>546</v>
      </c>
      <c r="U2" s="228" t="s">
        <v>547</v>
      </c>
      <c r="V2" s="228" t="s">
        <v>548</v>
      </c>
      <c r="W2" s="228" t="s">
        <v>549</v>
      </c>
      <c r="X2" s="337" t="s">
        <v>550</v>
      </c>
      <c r="Y2" s="340"/>
      <c r="Z2" s="228" t="s">
        <v>546</v>
      </c>
      <c r="AA2" s="228" t="s">
        <v>547</v>
      </c>
      <c r="AB2" s="228" t="s">
        <v>548</v>
      </c>
      <c r="AC2" s="228" t="s">
        <v>549</v>
      </c>
      <c r="AD2" s="337" t="s">
        <v>550</v>
      </c>
      <c r="AE2" s="340"/>
      <c r="AF2" s="326" t="s">
        <v>529</v>
      </c>
      <c r="AG2" s="327" t="s">
        <v>530</v>
      </c>
      <c r="AH2" s="298" t="s">
        <v>172</v>
      </c>
      <c r="AI2" s="298" t="s">
        <v>171</v>
      </c>
      <c r="AJ2" s="298" t="s">
        <v>192</v>
      </c>
      <c r="AL2">
        <f>MAX(K3:K9)</f>
        <v>5</v>
      </c>
      <c r="AN2" s="247" t="s">
        <v>174</v>
      </c>
      <c r="AP2">
        <f>MAX(AP6:AP12)</f>
        <v>0</v>
      </c>
      <c r="AQ2">
        <f>MIN(AO6:AO12)</f>
        <v>0</v>
      </c>
      <c r="AS2">
        <f>MAX(AP16:AP22)</f>
        <v>0</v>
      </c>
      <c r="AT2">
        <f>MIN(AO16:AO22)</f>
        <v>0</v>
      </c>
      <c r="AV2">
        <f>MAX(AP25:AP31)</f>
        <v>0</v>
      </c>
      <c r="AW2">
        <f>MIN(AO25:AO31)</f>
        <v>0</v>
      </c>
    </row>
    <row r="3" spans="2:59" ht="15" customHeight="1">
      <c r="B3" s="201">
        <v>1</v>
      </c>
      <c r="C3" s="206" t="s">
        <v>399</v>
      </c>
      <c r="D3" s="201"/>
      <c r="E3" s="201"/>
      <c r="F3" s="202" t="s">
        <v>240</v>
      </c>
      <c r="G3" s="229" t="s">
        <v>206</v>
      </c>
      <c r="H3" s="229">
        <v>5</v>
      </c>
      <c r="I3" s="201">
        <v>5</v>
      </c>
      <c r="J3" s="201">
        <v>240000</v>
      </c>
      <c r="K3" s="201">
        <f>2</f>
        <v>2</v>
      </c>
      <c r="L3" s="305">
        <f t="shared" ref="L3:L9" si="0">(30000+40000+250000+750000)/5</f>
        <v>214000</v>
      </c>
      <c r="M3" s="305">
        <f t="shared" ref="M3:M9" si="1">(150000+180000+6000+600000+36000)/5</f>
        <v>194400</v>
      </c>
      <c r="N3" s="335" t="str">
        <f t="shared" ref="N3:N9" si="2">IF(H3&gt;=$AF$3,B3,"")</f>
        <v/>
      </c>
      <c r="O3" s="335" t="str">
        <f t="shared" ref="O3:O9" si="3">IF($AG$3=$AN$3,IF($AL$3=J3,B3,""),IF($AL$2=K3,B3,""))</f>
        <v/>
      </c>
      <c r="P3" s="335" t="str">
        <f t="shared" ref="P3:P9" si="4">IF($AH$3=F3,B3,"")</f>
        <v/>
      </c>
      <c r="Q3" s="335" t="str">
        <f t="shared" ref="Q3:Q9" si="5">IF(N3=O3,IF(O3=P3,IF(P3&lt;&gt;"",B3,""),""),"")</f>
        <v/>
      </c>
      <c r="R3" s="362" t="str">
        <f>IFERROR(SMALL($Q$3:$Q$9,ROWS($Q$3:Q3)),"")</f>
        <v/>
      </c>
      <c r="S3" s="341"/>
      <c r="T3" s="335" t="str">
        <f>IF(H3&gt;=$AF$3,B3,"")</f>
        <v/>
      </c>
      <c r="U3" s="335" t="str">
        <f>IF($AG$3=$AN$3,IF($AL$3=J3,B3,""),IF($AL$2=K3,B3,""))</f>
        <v/>
      </c>
      <c r="V3" s="335" t="str">
        <f>IF($AI$3=F3,B3,"")</f>
        <v/>
      </c>
      <c r="W3" s="335" t="str">
        <f>IF(T3=U3,IF(U3=V3,IF(V3&lt;&gt;"",B3,""),""),"")</f>
        <v/>
      </c>
      <c r="X3" s="362" t="str">
        <f>IFERROR(SMALL($W$3:$W$9,ROWS($W$3:W3)),"")</f>
        <v/>
      </c>
      <c r="Y3" s="341"/>
      <c r="Z3" s="335" t="str">
        <f>IF(H3&gt;=$AF$3,B3,"")</f>
        <v/>
      </c>
      <c r="AA3" s="335" t="str">
        <f>IF($AG$3=$AN$3,IF($AL$3=J3,B3,""),IF($AL$2=K3,B3,""))</f>
        <v/>
      </c>
      <c r="AB3" s="335" t="str">
        <f>IF($AJ$3=F3,B3,"")</f>
        <v/>
      </c>
      <c r="AC3" s="335" t="str">
        <f>IF(Z3=AA3,IF(AA3=AB3,IF(AB3&lt;&gt;"",B3,""),""),"")</f>
        <v/>
      </c>
      <c r="AD3" s="362" t="str">
        <f>IFERROR(SMALL($AC$3:$AC$9,ROWS($AC$3:AC3)),"")</f>
        <v/>
      </c>
      <c r="AE3" s="341"/>
      <c r="AF3" s="343" t="str">
        <f>Entry!E33</f>
        <v>Please enter</v>
      </c>
      <c r="AG3" s="327" t="str">
        <f>Entry!E34</f>
        <v>Please select</v>
      </c>
      <c r="AH3" s="298" t="str">
        <f>Entry!K69</f>
        <v>#VALUE!</v>
      </c>
      <c r="AI3" s="346" t="str">
        <f>Entry!L69</f>
        <v>#VALUE!</v>
      </c>
      <c r="AJ3" s="346" t="str">
        <f>Entry!M69</f>
        <v>#VALUE!</v>
      </c>
      <c r="AL3">
        <f>MIN(J3:J9)</f>
        <v>240000</v>
      </c>
      <c r="AN3" s="247" t="s">
        <v>477</v>
      </c>
    </row>
    <row r="4" spans="2:59">
      <c r="B4" s="201">
        <f t="shared" ref="B4:B16" si="6">B3+1</f>
        <v>2</v>
      </c>
      <c r="C4" s="206" t="s">
        <v>404</v>
      </c>
      <c r="D4" s="201"/>
      <c r="E4" s="201"/>
      <c r="F4" s="201" t="s">
        <v>242</v>
      </c>
      <c r="G4" s="229" t="s">
        <v>206</v>
      </c>
      <c r="H4" s="229">
        <v>5</v>
      </c>
      <c r="I4" s="201">
        <v>3</v>
      </c>
      <c r="J4" s="201">
        <f t="shared" ref="J4:J9" si="7">(J3/H3)*H4</f>
        <v>240000</v>
      </c>
      <c r="K4" s="201">
        <f>K3+1</f>
        <v>3</v>
      </c>
      <c r="L4" s="305">
        <f t="shared" si="0"/>
        <v>214000</v>
      </c>
      <c r="M4" s="305">
        <f t="shared" si="1"/>
        <v>194400</v>
      </c>
      <c r="N4" s="335" t="str">
        <f t="shared" si="2"/>
        <v/>
      </c>
      <c r="O4" s="335" t="str">
        <f t="shared" si="3"/>
        <v/>
      </c>
      <c r="P4" s="335" t="str">
        <f t="shared" si="4"/>
        <v/>
      </c>
      <c r="Q4" s="335" t="str">
        <f t="shared" si="5"/>
        <v/>
      </c>
      <c r="R4" s="362" t="str">
        <f>IFERROR(SMALL($Q$3:$Q$9,ROWS($Q$3:Q4)),"")</f>
        <v/>
      </c>
      <c r="S4" s="341"/>
      <c r="T4" s="335" t="str">
        <f t="shared" ref="T4:T9" si="8">IF(H4&gt;=$AF$3,B4,"")</f>
        <v/>
      </c>
      <c r="U4" s="335" t="str">
        <f t="shared" ref="U4:U9" si="9">IF($AG$3=$AN$3,IF($AL$3=J4,B4,""),IF($AL$2=K4,B4,""))</f>
        <v/>
      </c>
      <c r="V4" s="335" t="str">
        <f t="shared" ref="V4:V9" si="10">IF($AI$3=F4,B4,"")</f>
        <v/>
      </c>
      <c r="W4" s="335" t="str">
        <f t="shared" ref="W4:W9" si="11">IF(T4=U4,IF(U4=V4,IF(V4&lt;&gt;"",B4,""),""),"")</f>
        <v/>
      </c>
      <c r="X4" s="362" t="str">
        <f>IFERROR(SMALL($W$3:$W$9,ROWS($W$3:W4)),"")</f>
        <v/>
      </c>
      <c r="Y4" s="341"/>
      <c r="Z4" s="335" t="str">
        <f t="shared" ref="Z4:Z9" si="12">IF(H4&gt;=$AF$3,B4,"")</f>
        <v/>
      </c>
      <c r="AA4" s="335" t="str">
        <f t="shared" ref="AA4:AA9" si="13">IF($AG$3=$AN$3,IF($AL$3=J4,B4,""),IF($AL$2=K4,B4,""))</f>
        <v/>
      </c>
      <c r="AB4" s="335" t="str">
        <f t="shared" ref="AB4:AB9" si="14">IF($AJ$3=F4,B4,"")</f>
        <v/>
      </c>
      <c r="AC4" s="335" t="str">
        <f t="shared" ref="AC4:AC9" si="15">IF(Z4=AA4,IF(AA4=AB4,IF(AB4&lt;&gt;"",B4,""),""),"")</f>
        <v/>
      </c>
      <c r="AD4" s="362" t="str">
        <f>IFERROR(SMALL($AC$3:$AC$9,ROWS($AC$3:AC4)),"")</f>
        <v/>
      </c>
      <c r="AE4" s="338"/>
      <c r="AF4" s="99"/>
    </row>
    <row r="5" spans="2:59" ht="15.75" customHeight="1">
      <c r="B5" s="201">
        <f t="shared" si="6"/>
        <v>3</v>
      </c>
      <c r="C5" s="206" t="s">
        <v>400</v>
      </c>
      <c r="D5" s="201"/>
      <c r="E5" s="201"/>
      <c r="F5" s="201" t="s">
        <v>242</v>
      </c>
      <c r="G5" s="229" t="s">
        <v>206</v>
      </c>
      <c r="H5" s="229">
        <v>8</v>
      </c>
      <c r="I5" s="201">
        <v>4</v>
      </c>
      <c r="J5" s="201">
        <f t="shared" si="7"/>
        <v>384000</v>
      </c>
      <c r="K5" s="201">
        <f>K4+1</f>
        <v>4</v>
      </c>
      <c r="L5" s="305">
        <f t="shared" si="0"/>
        <v>214000</v>
      </c>
      <c r="M5" s="305">
        <f t="shared" si="1"/>
        <v>194400</v>
      </c>
      <c r="N5" s="335" t="str">
        <f t="shared" si="2"/>
        <v/>
      </c>
      <c r="O5" s="335" t="str">
        <f t="shared" si="3"/>
        <v/>
      </c>
      <c r="P5" s="335" t="str">
        <f t="shared" si="4"/>
        <v/>
      </c>
      <c r="Q5" s="335" t="str">
        <f t="shared" si="5"/>
        <v/>
      </c>
      <c r="R5" s="362" t="str">
        <f>IFERROR(SMALL($Q$3:$Q$9,ROWS($Q$3:Q5)),"")</f>
        <v/>
      </c>
      <c r="S5" s="341"/>
      <c r="T5" s="335" t="str">
        <f t="shared" si="8"/>
        <v/>
      </c>
      <c r="U5" s="335" t="str">
        <f t="shared" si="9"/>
        <v/>
      </c>
      <c r="V5" s="335" t="str">
        <f t="shared" si="10"/>
        <v/>
      </c>
      <c r="W5" s="335" t="str">
        <f t="shared" si="11"/>
        <v/>
      </c>
      <c r="X5" s="362" t="str">
        <f>IFERROR(SMALL($W$3:$W$9,ROWS($W$3:W5)),"")</f>
        <v/>
      </c>
      <c r="Y5" s="341"/>
      <c r="Z5" s="335" t="str">
        <f t="shared" si="12"/>
        <v/>
      </c>
      <c r="AA5" s="335" t="str">
        <f t="shared" si="13"/>
        <v/>
      </c>
      <c r="AB5" s="335" t="str">
        <f t="shared" si="14"/>
        <v/>
      </c>
      <c r="AC5" s="335" t="str">
        <f t="shared" si="15"/>
        <v/>
      </c>
      <c r="AD5" s="362" t="str">
        <f>IFERROR(SMALL($AC$3:$AC$9,ROWS($AC$3:AC5)),"")</f>
        <v/>
      </c>
      <c r="AE5" s="338"/>
      <c r="AF5" s="6"/>
      <c r="AG5" s="226" t="s">
        <v>393</v>
      </c>
      <c r="AH5" s="226" t="s">
        <v>394</v>
      </c>
      <c r="AI5" s="226" t="s">
        <v>395</v>
      </c>
      <c r="AJ5" s="226" t="s">
        <v>396</v>
      </c>
      <c r="AK5" s="363" t="s">
        <v>397</v>
      </c>
      <c r="AL5" s="363" t="s">
        <v>406</v>
      </c>
      <c r="AM5" s="363" t="s">
        <v>555</v>
      </c>
      <c r="AN5" s="226" t="s">
        <v>398</v>
      </c>
      <c r="AO5" s="226" t="s">
        <v>554</v>
      </c>
      <c r="AP5" s="226" t="s">
        <v>484</v>
      </c>
      <c r="AQ5" s="228" t="s">
        <v>531</v>
      </c>
      <c r="AR5" s="228" t="s">
        <v>532</v>
      </c>
      <c r="AS5" s="228" t="s">
        <v>556</v>
      </c>
      <c r="AT5" s="228" t="s">
        <v>556</v>
      </c>
      <c r="AV5" s="226" t="s">
        <v>393</v>
      </c>
      <c r="AW5" s="226" t="s">
        <v>394</v>
      </c>
      <c r="AX5" s="226" t="s">
        <v>395</v>
      </c>
      <c r="AY5" s="226" t="s">
        <v>396</v>
      </c>
      <c r="AZ5" s="363" t="s">
        <v>397</v>
      </c>
      <c r="BA5" s="363" t="s">
        <v>406</v>
      </c>
      <c r="BB5" s="363" t="s">
        <v>555</v>
      </c>
      <c r="BC5" s="226" t="s">
        <v>398</v>
      </c>
      <c r="BD5" s="226" t="s">
        <v>554</v>
      </c>
      <c r="BE5" s="226" t="s">
        <v>484</v>
      </c>
      <c r="BF5" s="228" t="s">
        <v>531</v>
      </c>
      <c r="BG5" s="228" t="s">
        <v>532</v>
      </c>
    </row>
    <row r="6" spans="2:59">
      <c r="B6" s="201">
        <f t="shared" si="6"/>
        <v>4</v>
      </c>
      <c r="C6" s="206" t="s">
        <v>401</v>
      </c>
      <c r="D6" s="201"/>
      <c r="E6" s="201"/>
      <c r="F6" s="201" t="s">
        <v>242</v>
      </c>
      <c r="G6" s="229" t="s">
        <v>206</v>
      </c>
      <c r="H6" s="229">
        <v>10</v>
      </c>
      <c r="I6" s="201">
        <v>3</v>
      </c>
      <c r="J6" s="201">
        <f t="shared" si="7"/>
        <v>480000</v>
      </c>
      <c r="K6" s="201">
        <f>K5+1</f>
        <v>5</v>
      </c>
      <c r="L6" s="305">
        <f t="shared" si="0"/>
        <v>214000</v>
      </c>
      <c r="M6" s="305">
        <f t="shared" si="1"/>
        <v>194400</v>
      </c>
      <c r="N6" s="335" t="str">
        <f t="shared" si="2"/>
        <v/>
      </c>
      <c r="O6" s="335">
        <f t="shared" si="3"/>
        <v>4</v>
      </c>
      <c r="P6" s="335" t="str">
        <f t="shared" si="4"/>
        <v/>
      </c>
      <c r="Q6" s="335" t="str">
        <f t="shared" si="5"/>
        <v/>
      </c>
      <c r="R6" s="362" t="str">
        <f>IFERROR(SMALL($Q$3:$Q$9,ROWS($Q$3:Q6)),"")</f>
        <v/>
      </c>
      <c r="S6" s="341"/>
      <c r="T6" s="335" t="str">
        <f t="shared" si="8"/>
        <v/>
      </c>
      <c r="U6" s="335">
        <f t="shared" si="9"/>
        <v>4</v>
      </c>
      <c r="V6" s="335" t="str">
        <f t="shared" si="10"/>
        <v/>
      </c>
      <c r="W6" s="335" t="str">
        <f t="shared" si="11"/>
        <v/>
      </c>
      <c r="X6" s="362" t="str">
        <f>IFERROR(SMALL($W$3:$W$9,ROWS($W$3:W6)),"")</f>
        <v/>
      </c>
      <c r="Y6" s="341"/>
      <c r="Z6" s="335" t="str">
        <f t="shared" si="12"/>
        <v/>
      </c>
      <c r="AA6" s="335">
        <f t="shared" si="13"/>
        <v>4</v>
      </c>
      <c r="AB6" s="335" t="str">
        <f t="shared" si="14"/>
        <v/>
      </c>
      <c r="AC6" s="335" t="str">
        <f t="shared" si="15"/>
        <v/>
      </c>
      <c r="AD6" s="362" t="str">
        <f>IFERROR(SMALL($AC$3:$AC$9,ROWS($AC$3:AC6)),"")</f>
        <v/>
      </c>
      <c r="AE6" s="338"/>
      <c r="AF6" s="6"/>
      <c r="AG6" s="201" t="str">
        <f>IFERROR(INDEX($B$3:$M$9,$R3,COLUMNS($AG$6:AG6)),"")</f>
        <v/>
      </c>
      <c r="AH6" s="201" t="str">
        <f>IFERROR(INDEX($B$3:$M$9,$R3,COLUMNS($AG$6:AH6)),"")</f>
        <v/>
      </c>
      <c r="AI6" s="201" t="str">
        <f>IFERROR(INDEX($B$3:$M$9,$R3,COLUMNS($AG$6:AI6)),"")</f>
        <v/>
      </c>
      <c r="AJ6" s="201" t="str">
        <f>IFERROR(INDEX($B$3:$M$9,$R3,COLUMNS($AG$6:AJ6)),"")</f>
        <v/>
      </c>
      <c r="AK6" s="201" t="str">
        <f>IFERROR(INDEX($B$3:$M$9,$R3,COLUMNS($AG$6:AK6)),"")</f>
        <v/>
      </c>
      <c r="AL6" s="201" t="str">
        <f>IFERROR(INDEX($B$3:$M$9,$R3,COLUMNS($AG$6:AL6)),"")</f>
        <v/>
      </c>
      <c r="AM6" s="201" t="str">
        <f>IFERROR(INDEX($B$3:$M$9,$R3,COLUMNS($AG$6:AM6)),"")</f>
        <v/>
      </c>
      <c r="AN6" s="201" t="str">
        <f>IFERROR(INDEX($B$3:$M$9,$R3,COLUMNS($AG$6:AN6)),"")</f>
        <v/>
      </c>
      <c r="AO6" s="201" t="str">
        <f>IFERROR(INDEX($B$3:$M$9,$R3,COLUMNS($AG$6:AO6)),"")</f>
        <v/>
      </c>
      <c r="AP6" s="201" t="str">
        <f>IFERROR(INDEX($B$3:$M$9,$R3,COLUMNS($AG$6:AP6)),"")</f>
        <v/>
      </c>
      <c r="AQ6" s="201" t="str">
        <f>IFERROR(INDEX($B$3:$M$9,$R3,COLUMNS($AG$6:AQ6)),"")</f>
        <v/>
      </c>
      <c r="AR6" s="201" t="str">
        <f>IFERROR(INDEX($B$3:$M$9,$R3,COLUMNS($AG$6:AR6)),"")</f>
        <v/>
      </c>
      <c r="AS6" s="201" t="str">
        <f>IF($AG$3=$AN$3,IF(AP6=$AP$2,AG6,""),IF(AO6=$AQ$2,AG6,""))</f>
        <v/>
      </c>
      <c r="AT6" s="348" t="str">
        <f>IFERROR(SMALL($AS$6:$AS$12,ROWS($AS$6:AS6)),"")</f>
        <v/>
      </c>
      <c r="AV6" t="str">
        <f>INDEX($AG$6:$AR$12,MATCH($AT$6,$AG$6:$AG$12,0),1)</f>
        <v/>
      </c>
      <c r="AW6" t="str">
        <f>INDEX($AG$6:$AR$12,MATCH($AT$6,$AG$6:$AG$12,0),2)</f>
        <v/>
      </c>
      <c r="AX6" t="str">
        <f>INDEX($AG$6:$AR$12,MATCH($AT$6,$AG$6:$AG$12,0),3)</f>
        <v/>
      </c>
      <c r="AY6" t="str">
        <f>INDEX($AG$6:$AR$12,MATCH($AT$6,$AG$6:$AG$12,0),4)</f>
        <v/>
      </c>
      <c r="AZ6" t="str">
        <f>INDEX($AG$6:$AR$12,MATCH($AT$6,$AG$6:$AG$12,0),5)</f>
        <v/>
      </c>
      <c r="BA6" t="str">
        <f>INDEX($AG$6:$AR$12,MATCH($AT$6,$AG$6:$AG$12,0),6)</f>
        <v/>
      </c>
      <c r="BB6" t="str">
        <f>INDEX($AG$6:$AR$12,MATCH($AT$6,$AG$6:$AG$12,0),7)</f>
        <v/>
      </c>
      <c r="BC6" t="str">
        <f>INDEX($AG$6:$AR$12,MATCH($AT$6,$AG$6:$AG$12,0),8)</f>
        <v/>
      </c>
      <c r="BD6" t="str">
        <f>INDEX($AG$6:$AR$12,MATCH($AT$6,$AG$6:$AG$12,0),9)</f>
        <v/>
      </c>
      <c r="BE6" t="str">
        <f>INDEX($AG$6:$AR$12,MATCH($AT$6,$AG$6:$AG$12,0),10)</f>
        <v/>
      </c>
      <c r="BF6" t="str">
        <f>INDEX($AG$6:$AR$12,MATCH($AT$6,$AG$6:$AG$12,0),11)</f>
        <v/>
      </c>
      <c r="BG6" t="str">
        <f>INDEX($AG$6:$AR$12,MATCH($AT$6,$AG$6:$AG$12,0),12)</f>
        <v/>
      </c>
    </row>
    <row r="7" spans="2:59">
      <c r="B7" s="201">
        <f t="shared" si="6"/>
        <v>5</v>
      </c>
      <c r="C7" s="206" t="s">
        <v>405</v>
      </c>
      <c r="D7" s="201"/>
      <c r="E7" s="201"/>
      <c r="F7" s="201" t="s">
        <v>242</v>
      </c>
      <c r="G7" s="229" t="s">
        <v>206</v>
      </c>
      <c r="H7" s="229">
        <v>10</v>
      </c>
      <c r="I7" s="201">
        <v>4</v>
      </c>
      <c r="J7" s="201">
        <f t="shared" si="7"/>
        <v>480000</v>
      </c>
      <c r="K7" s="201">
        <f>K3+1</f>
        <v>3</v>
      </c>
      <c r="L7" s="305">
        <f t="shared" si="0"/>
        <v>214000</v>
      </c>
      <c r="M7" s="305">
        <f t="shared" si="1"/>
        <v>194400</v>
      </c>
      <c r="N7" s="335" t="str">
        <f t="shared" si="2"/>
        <v/>
      </c>
      <c r="O7" s="335" t="str">
        <f t="shared" si="3"/>
        <v/>
      </c>
      <c r="P7" s="335" t="str">
        <f t="shared" si="4"/>
        <v/>
      </c>
      <c r="Q7" s="335" t="str">
        <f t="shared" si="5"/>
        <v/>
      </c>
      <c r="R7" s="362" t="str">
        <f>IFERROR(SMALL($Q$3:$Q$9,ROWS($Q$3:Q7)),"")</f>
        <v/>
      </c>
      <c r="S7" s="341"/>
      <c r="T7" s="335" t="str">
        <f t="shared" si="8"/>
        <v/>
      </c>
      <c r="U7" s="335" t="str">
        <f t="shared" si="9"/>
        <v/>
      </c>
      <c r="V7" s="335" t="str">
        <f t="shared" si="10"/>
        <v/>
      </c>
      <c r="W7" s="335" t="str">
        <f t="shared" si="11"/>
        <v/>
      </c>
      <c r="X7" s="362" t="str">
        <f>IFERROR(SMALL($W$3:$W$9,ROWS($W$3:W7)),"")</f>
        <v/>
      </c>
      <c r="Y7" s="341"/>
      <c r="Z7" s="335" t="str">
        <f t="shared" si="12"/>
        <v/>
      </c>
      <c r="AA7" s="335" t="str">
        <f t="shared" si="13"/>
        <v/>
      </c>
      <c r="AB7" s="335" t="str">
        <f t="shared" si="14"/>
        <v/>
      </c>
      <c r="AC7" s="335" t="str">
        <f t="shared" si="15"/>
        <v/>
      </c>
      <c r="AD7" s="362" t="str">
        <f>IFERROR(SMALL($AC$3:$AC$9,ROWS($AC$3:AC7)),"")</f>
        <v/>
      </c>
      <c r="AE7" s="338"/>
      <c r="AF7" s="6"/>
      <c r="AG7" s="201" t="str">
        <f>IFERROR(INDEX($B$3:$M$9,$R4,COLUMNS($AG$6:AG7)),"")</f>
        <v/>
      </c>
      <c r="AH7" s="201" t="str">
        <f>IFERROR(INDEX($B$3:$M$9,$R4,COLUMNS($AG$6:AH7)),"")</f>
        <v/>
      </c>
      <c r="AI7" s="201" t="str">
        <f>IFERROR(INDEX($B$3:$M$9,$R4,COLUMNS($AG$6:AI7)),"")</f>
        <v/>
      </c>
      <c r="AJ7" s="201" t="str">
        <f>IFERROR(INDEX($B$3:$M$9,$R4,COLUMNS($AG$6:AJ7)),"")</f>
        <v/>
      </c>
      <c r="AK7" s="201" t="str">
        <f>IFERROR(INDEX($B$3:$M$9,$R4,COLUMNS($AG$6:AK7)),"")</f>
        <v/>
      </c>
      <c r="AL7" s="201" t="str">
        <f>IFERROR(INDEX($B$3:$M$9,$R4,COLUMNS($AG$6:AL7)),"")</f>
        <v/>
      </c>
      <c r="AM7" s="201" t="str">
        <f>IFERROR(INDEX($B$3:$M$9,$R4,COLUMNS($AG$6:AM7)),"")</f>
        <v/>
      </c>
      <c r="AN7" s="201" t="str">
        <f>IFERROR(INDEX($B$3:$M$9,$R4,COLUMNS($AG$6:AN7)),"")</f>
        <v/>
      </c>
      <c r="AO7" s="201" t="str">
        <f>IFERROR(INDEX($B$3:$M$9,$R4,COLUMNS($AG$6:AO7)),"")</f>
        <v/>
      </c>
      <c r="AP7" s="201" t="str">
        <f>IFERROR(INDEX($B$3:$M$9,$R4,COLUMNS($AG$6:AP7)),"")</f>
        <v/>
      </c>
      <c r="AQ7" s="201" t="str">
        <f>IFERROR(INDEX($B$3:$M$9,$R4,COLUMNS($AG$6:AQ7)),"")</f>
        <v/>
      </c>
      <c r="AR7" s="201" t="str">
        <f>IFERROR(INDEX($B$3:$M$9,$R4,COLUMNS($AG$6:AR7)),"")</f>
        <v/>
      </c>
      <c r="AS7" s="201" t="str">
        <f t="shared" ref="AS7:AS12" si="16">IF($AG$3=$AN$3,IF(AP7=$AP$2,AG7,""),IF(AO7=$AQ$2,AG7,""))</f>
        <v/>
      </c>
      <c r="AT7" s="348" t="str">
        <f>IFERROR(SMALL($AS$6:$AS$12,ROWS($AS$6:AS7)),"")</f>
        <v/>
      </c>
    </row>
    <row r="8" spans="2:59">
      <c r="B8" s="201">
        <f t="shared" si="6"/>
        <v>6</v>
      </c>
      <c r="C8" s="206" t="s">
        <v>402</v>
      </c>
      <c r="D8" s="201"/>
      <c r="E8" s="201"/>
      <c r="F8" s="201" t="s">
        <v>242</v>
      </c>
      <c r="G8" s="229" t="s">
        <v>206</v>
      </c>
      <c r="H8" s="229">
        <v>15</v>
      </c>
      <c r="I8" s="201">
        <v>6</v>
      </c>
      <c r="J8" s="201">
        <f t="shared" si="7"/>
        <v>720000</v>
      </c>
      <c r="K8" s="201">
        <f>K7+1</f>
        <v>4</v>
      </c>
      <c r="L8" s="305">
        <f t="shared" si="0"/>
        <v>214000</v>
      </c>
      <c r="M8" s="305">
        <f t="shared" si="1"/>
        <v>194400</v>
      </c>
      <c r="N8" s="335" t="str">
        <f t="shared" si="2"/>
        <v/>
      </c>
      <c r="O8" s="335" t="str">
        <f t="shared" si="3"/>
        <v/>
      </c>
      <c r="P8" s="335" t="str">
        <f t="shared" si="4"/>
        <v/>
      </c>
      <c r="Q8" s="335" t="str">
        <f t="shared" si="5"/>
        <v/>
      </c>
      <c r="R8" s="362" t="str">
        <f>IFERROR(SMALL($Q$3:$Q$9,ROWS($Q$3:Q8)),"")</f>
        <v/>
      </c>
      <c r="S8" s="341"/>
      <c r="T8" s="335" t="str">
        <f t="shared" si="8"/>
        <v/>
      </c>
      <c r="U8" s="335" t="str">
        <f t="shared" si="9"/>
        <v/>
      </c>
      <c r="V8" s="335" t="str">
        <f t="shared" si="10"/>
        <v/>
      </c>
      <c r="W8" s="335" t="str">
        <f t="shared" si="11"/>
        <v/>
      </c>
      <c r="X8" s="362" t="str">
        <f>IFERROR(SMALL($W$3:$W$9,ROWS($W$3:W8)),"")</f>
        <v/>
      </c>
      <c r="Y8" s="341"/>
      <c r="Z8" s="335" t="str">
        <f t="shared" si="12"/>
        <v/>
      </c>
      <c r="AA8" s="335" t="str">
        <f t="shared" si="13"/>
        <v/>
      </c>
      <c r="AB8" s="335" t="str">
        <f t="shared" si="14"/>
        <v/>
      </c>
      <c r="AC8" s="335" t="str">
        <f t="shared" si="15"/>
        <v/>
      </c>
      <c r="AD8" s="362" t="str">
        <f>IFERROR(SMALL($AC$3:$AC$9,ROWS($AC$3:AC8)),"")</f>
        <v/>
      </c>
      <c r="AE8" s="338"/>
      <c r="AF8" s="6"/>
      <c r="AG8" s="201" t="str">
        <f>IFERROR(INDEX($B$3:$M$9,$R5,COLUMNS($AG$6:AG8)),"")</f>
        <v/>
      </c>
      <c r="AH8" s="201" t="str">
        <f>IFERROR(INDEX($B$3:$M$9,$R5,COLUMNS($AG$6:AH8)),"")</f>
        <v/>
      </c>
      <c r="AI8" s="201" t="str">
        <f>IFERROR(INDEX($B$3:$M$9,$R5,COLUMNS($AG$6:AI8)),"")</f>
        <v/>
      </c>
      <c r="AJ8" s="201" t="str">
        <f>IFERROR(INDEX($B$3:$M$9,$R5,COLUMNS($AG$6:AJ8)),"")</f>
        <v/>
      </c>
      <c r="AK8" s="201" t="str">
        <f>IFERROR(INDEX($B$3:$M$9,$R5,COLUMNS($AG$6:AK8)),"")</f>
        <v/>
      </c>
      <c r="AL8" s="201" t="str">
        <f>IFERROR(INDEX($B$3:$M$9,$R5,COLUMNS($AG$6:AL8)),"")</f>
        <v/>
      </c>
      <c r="AM8" s="201" t="str">
        <f>IFERROR(INDEX($B$3:$M$9,$R5,COLUMNS($AG$6:AM8)),"")</f>
        <v/>
      </c>
      <c r="AN8" s="201" t="str">
        <f>IFERROR(INDEX($B$3:$M$9,$R5,COLUMNS($AG$6:AN8)),"")</f>
        <v/>
      </c>
      <c r="AO8" s="201" t="str">
        <f>IFERROR(INDEX($B$3:$M$9,$R5,COLUMNS($AG$6:AO8)),"")</f>
        <v/>
      </c>
      <c r="AP8" s="201" t="str">
        <f>IFERROR(INDEX($B$3:$M$9,$R5,COLUMNS($AG$6:AP8)),"")</f>
        <v/>
      </c>
      <c r="AQ8" s="201" t="str">
        <f>IFERROR(INDEX($B$3:$M$9,$R5,COLUMNS($AG$6:AQ8)),"")</f>
        <v/>
      </c>
      <c r="AR8" s="201" t="str">
        <f>IFERROR(INDEX($B$3:$M$9,$R5,COLUMNS($AG$6:AR8)),"")</f>
        <v/>
      </c>
      <c r="AS8" s="201" t="str">
        <f t="shared" si="16"/>
        <v/>
      </c>
      <c r="AT8" s="348" t="str">
        <f>IFERROR(SMALL($AS$6:$AS$12,ROWS($AS$6:AS8)),"")</f>
        <v/>
      </c>
    </row>
    <row r="9" spans="2:59">
      <c r="B9" s="201">
        <f t="shared" si="6"/>
        <v>7</v>
      </c>
      <c r="C9" s="206" t="s">
        <v>403</v>
      </c>
      <c r="D9" s="201"/>
      <c r="E9" s="201"/>
      <c r="F9" s="201" t="s">
        <v>242</v>
      </c>
      <c r="G9" s="229" t="s">
        <v>206</v>
      </c>
      <c r="H9" s="229">
        <v>20</v>
      </c>
      <c r="I9" s="201">
        <v>2</v>
      </c>
      <c r="J9" s="201">
        <f t="shared" si="7"/>
        <v>960000</v>
      </c>
      <c r="K9" s="201">
        <f>K8+1</f>
        <v>5</v>
      </c>
      <c r="L9" s="305">
        <f t="shared" si="0"/>
        <v>214000</v>
      </c>
      <c r="M9" s="305">
        <f t="shared" si="1"/>
        <v>194400</v>
      </c>
      <c r="N9" s="335" t="str">
        <f t="shared" si="2"/>
        <v/>
      </c>
      <c r="O9" s="335">
        <f t="shared" si="3"/>
        <v>7</v>
      </c>
      <c r="P9" s="335" t="str">
        <f t="shared" si="4"/>
        <v/>
      </c>
      <c r="Q9" s="335" t="str">
        <f t="shared" si="5"/>
        <v/>
      </c>
      <c r="R9" s="362" t="str">
        <f>IFERROR(SMALL($Q$3:$Q$9,ROWS($Q$3:Q9)),"")</f>
        <v/>
      </c>
      <c r="S9" s="341"/>
      <c r="T9" s="335" t="str">
        <f t="shared" si="8"/>
        <v/>
      </c>
      <c r="U9" s="335">
        <f t="shared" si="9"/>
        <v>7</v>
      </c>
      <c r="V9" s="335" t="str">
        <f t="shared" si="10"/>
        <v/>
      </c>
      <c r="W9" s="335" t="str">
        <f t="shared" si="11"/>
        <v/>
      </c>
      <c r="X9" s="362" t="str">
        <f>IFERROR(SMALL($W$3:$W$9,ROWS($W$3:W9)),"")</f>
        <v/>
      </c>
      <c r="Y9" s="341"/>
      <c r="Z9" s="335" t="str">
        <f t="shared" si="12"/>
        <v/>
      </c>
      <c r="AA9" s="335">
        <f t="shared" si="13"/>
        <v>7</v>
      </c>
      <c r="AB9" s="335" t="str">
        <f t="shared" si="14"/>
        <v/>
      </c>
      <c r="AC9" s="335" t="str">
        <f t="shared" si="15"/>
        <v/>
      </c>
      <c r="AD9" s="362" t="str">
        <f>IFERROR(SMALL($AC$3:$AC$9,ROWS($AC$3:AC9)),"")</f>
        <v/>
      </c>
      <c r="AE9" s="338"/>
      <c r="AF9" s="6"/>
      <c r="AG9" s="201" t="str">
        <f>IFERROR(INDEX($B$3:$M$9,$R6,COLUMNS($AG$6:AG9)),"")</f>
        <v/>
      </c>
      <c r="AH9" s="201" t="str">
        <f>IFERROR(INDEX($B$3:$M$9,$R6,COLUMNS($AG$6:AH9)),"")</f>
        <v/>
      </c>
      <c r="AI9" s="201" t="str">
        <f>IFERROR(INDEX($B$3:$M$9,$R6,COLUMNS($AG$6:AI9)),"")</f>
        <v/>
      </c>
      <c r="AJ9" s="201" t="str">
        <f>IFERROR(INDEX($B$3:$M$9,$R6,COLUMNS($AG$6:AJ9)),"")</f>
        <v/>
      </c>
      <c r="AK9" s="201" t="str">
        <f>IFERROR(INDEX($B$3:$M$9,$R6,COLUMNS($AG$6:AK9)),"")</f>
        <v/>
      </c>
      <c r="AL9" s="201" t="str">
        <f>IFERROR(INDEX($B$3:$M$9,$R6,COLUMNS($AG$6:AL9)),"")</f>
        <v/>
      </c>
      <c r="AM9" s="201" t="str">
        <f>IFERROR(INDEX($B$3:$M$9,$R6,COLUMNS($AG$6:AM9)),"")</f>
        <v/>
      </c>
      <c r="AN9" s="201" t="str">
        <f>IFERROR(INDEX($B$3:$M$9,$R6,COLUMNS($AG$6:AN9)),"")</f>
        <v/>
      </c>
      <c r="AO9" s="201" t="str">
        <f>IFERROR(INDEX($B$3:$M$9,$R6,COLUMNS($AG$6:AO9)),"")</f>
        <v/>
      </c>
      <c r="AP9" s="201" t="str">
        <f>IFERROR(INDEX($B$3:$M$9,$R6,COLUMNS($AG$6:AP9)),"")</f>
        <v/>
      </c>
      <c r="AQ9" s="201" t="str">
        <f>IFERROR(INDEX($B$3:$M$9,$R6,COLUMNS($AG$6:AQ9)),"")</f>
        <v/>
      </c>
      <c r="AR9" s="201" t="str">
        <f>IFERROR(INDEX($B$3:$M$9,$R6,COLUMNS($AG$6:AR9)),"")</f>
        <v/>
      </c>
      <c r="AS9" s="201" t="str">
        <f t="shared" si="16"/>
        <v/>
      </c>
      <c r="AT9" s="348" t="str">
        <f>IFERROR(SMALL($AS$6:$AS$12,ROWS($AS$6:AS9)),"")</f>
        <v/>
      </c>
    </row>
    <row r="10" spans="2:59">
      <c r="B10" s="201">
        <f t="shared" si="6"/>
        <v>8</v>
      </c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329"/>
      <c r="S10" s="342"/>
      <c r="T10" s="201"/>
      <c r="U10" s="201"/>
      <c r="V10" s="201"/>
      <c r="W10" s="201"/>
      <c r="X10" s="329"/>
      <c r="Y10" s="342"/>
      <c r="Z10" s="201"/>
      <c r="AA10" s="201"/>
      <c r="AB10" s="201"/>
      <c r="AC10" s="201"/>
      <c r="AD10" s="329"/>
      <c r="AE10" s="339"/>
      <c r="AF10" s="6"/>
      <c r="AG10" s="201" t="str">
        <f>IFERROR(INDEX($B$3:$M$9,$R7,COLUMNS($AG$6:AG10)),"")</f>
        <v/>
      </c>
      <c r="AH10" s="201" t="str">
        <f>IFERROR(INDEX($B$3:$M$9,$R7,COLUMNS($AG$6:AH10)),"")</f>
        <v/>
      </c>
      <c r="AI10" s="201" t="str">
        <f>IFERROR(INDEX($B$3:$M$9,$R7,COLUMNS($AG$6:AI10)),"")</f>
        <v/>
      </c>
      <c r="AJ10" s="201" t="str">
        <f>IFERROR(INDEX($B$3:$M$9,$R7,COLUMNS($AG$6:AJ10)),"")</f>
        <v/>
      </c>
      <c r="AK10" s="201" t="str">
        <f>IFERROR(INDEX($B$3:$M$9,$R7,COLUMNS($AG$6:AK10)),"")</f>
        <v/>
      </c>
      <c r="AL10" s="201" t="str">
        <f>IFERROR(INDEX($B$3:$M$9,$R7,COLUMNS($AG$6:AL10)),"")</f>
        <v/>
      </c>
      <c r="AM10" s="201" t="str">
        <f>IFERROR(INDEX($B$3:$M$9,$R7,COLUMNS($AG$6:AM10)),"")</f>
        <v/>
      </c>
      <c r="AN10" s="201" t="str">
        <f>IFERROR(INDEX($B$3:$M$9,$R7,COLUMNS($AG$6:AN10)),"")</f>
        <v/>
      </c>
      <c r="AO10" s="201" t="str">
        <f>IFERROR(INDEX($B$3:$M$9,$R7,COLUMNS($AG$6:AO10)),"")</f>
        <v/>
      </c>
      <c r="AP10" s="201" t="str">
        <f>IFERROR(INDEX($B$3:$M$9,$R7,COLUMNS($AG$6:AP10)),"")</f>
        <v/>
      </c>
      <c r="AQ10" s="201" t="str">
        <f>IFERROR(INDEX($B$3:$M$9,$R7,COLUMNS($AG$6:AQ10)),"")</f>
        <v/>
      </c>
      <c r="AR10" s="201" t="str">
        <f>IFERROR(INDEX($B$3:$M$9,$R7,COLUMNS($AG$6:AR10)),"")</f>
        <v/>
      </c>
      <c r="AS10" s="201" t="str">
        <f t="shared" si="16"/>
        <v/>
      </c>
      <c r="AT10" s="348" t="str">
        <f>IFERROR(SMALL($AS$6:$AS$12,ROWS($AS$6:AS10)),"")</f>
        <v/>
      </c>
    </row>
    <row r="11" spans="2:59">
      <c r="B11" s="201">
        <f t="shared" si="6"/>
        <v>9</v>
      </c>
      <c r="C11" s="201"/>
      <c r="D11" s="201"/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329"/>
      <c r="S11" s="342"/>
      <c r="T11" s="201"/>
      <c r="U11" s="201"/>
      <c r="V11" s="201"/>
      <c r="W11" s="201"/>
      <c r="X11" s="329"/>
      <c r="Y11" s="342"/>
      <c r="Z11" s="201"/>
      <c r="AA11" s="201"/>
      <c r="AB11" s="201"/>
      <c r="AC11" s="201"/>
      <c r="AD11" s="329"/>
      <c r="AE11" s="339"/>
      <c r="AF11" s="6"/>
      <c r="AG11" s="201" t="str">
        <f>IFERROR(INDEX($B$3:$M$9,$R8,COLUMNS($AG$6:AG11)),"")</f>
        <v/>
      </c>
      <c r="AH11" s="201" t="str">
        <f>IFERROR(INDEX($B$3:$M$9,$R8,COLUMNS($AG$6:AH11)),"")</f>
        <v/>
      </c>
      <c r="AI11" s="201" t="str">
        <f>IFERROR(INDEX($B$3:$M$9,$R8,COLUMNS($AG$6:AI11)),"")</f>
        <v/>
      </c>
      <c r="AJ11" s="201" t="str">
        <f>IFERROR(INDEX($B$3:$M$9,$R8,COLUMNS($AG$6:AJ11)),"")</f>
        <v/>
      </c>
      <c r="AK11" s="201" t="str">
        <f>IFERROR(INDEX($B$3:$M$9,$R8,COLUMNS($AG$6:AK11)),"")</f>
        <v/>
      </c>
      <c r="AL11" s="201" t="str">
        <f>IFERROR(INDEX($B$3:$M$9,$R8,COLUMNS($AG$6:AL11)),"")</f>
        <v/>
      </c>
      <c r="AM11" s="201" t="str">
        <f>IFERROR(INDEX($B$3:$M$9,$R8,COLUMNS($AG$6:AM11)),"")</f>
        <v/>
      </c>
      <c r="AN11" s="201" t="str">
        <f>IFERROR(INDEX($B$3:$M$9,$R8,COLUMNS($AG$6:AN11)),"")</f>
        <v/>
      </c>
      <c r="AO11" s="201" t="str">
        <f>IFERROR(INDEX($B$3:$M$9,$R8,COLUMNS($AG$6:AO11)),"")</f>
        <v/>
      </c>
      <c r="AP11" s="201" t="str">
        <f>IFERROR(INDEX($B$3:$M$9,$R8,COLUMNS($AG$6:AP11)),"")</f>
        <v/>
      </c>
      <c r="AQ11" s="201" t="str">
        <f>IFERROR(INDEX($B$3:$M$9,$R8,COLUMNS($AG$6:AQ11)),"")</f>
        <v/>
      </c>
      <c r="AR11" s="201" t="str">
        <f>IFERROR(INDEX($B$3:$M$9,$R8,COLUMNS($AG$6:AR11)),"")</f>
        <v/>
      </c>
      <c r="AS11" s="201" t="str">
        <f t="shared" si="16"/>
        <v/>
      </c>
      <c r="AT11" s="348" t="str">
        <f>IFERROR(SMALL($AS$6:$AS$12,ROWS($AS$6:AS11)),"")</f>
        <v/>
      </c>
    </row>
    <row r="12" spans="2:59">
      <c r="B12" s="201">
        <f t="shared" si="6"/>
        <v>10</v>
      </c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329"/>
      <c r="S12" s="342"/>
      <c r="T12" s="201"/>
      <c r="U12" s="201"/>
      <c r="V12" s="201"/>
      <c r="W12" s="201"/>
      <c r="X12" s="329"/>
      <c r="Y12" s="342"/>
      <c r="Z12" s="201"/>
      <c r="AA12" s="201"/>
      <c r="AB12" s="201"/>
      <c r="AC12" s="201"/>
      <c r="AD12" s="329"/>
      <c r="AE12" s="339"/>
      <c r="AF12" s="6"/>
      <c r="AG12" s="201" t="str">
        <f>IFERROR(INDEX($B$3:$M$9,$R9,COLUMNS($AG$6:AG12)),"")</f>
        <v/>
      </c>
      <c r="AH12" s="201" t="str">
        <f>IFERROR(INDEX($B$3:$M$9,$R9,COLUMNS($AG$6:AH12)),"")</f>
        <v/>
      </c>
      <c r="AI12" s="201" t="str">
        <f>IFERROR(INDEX($B$3:$M$9,$R9,COLUMNS($AG$6:AI12)),"")</f>
        <v/>
      </c>
      <c r="AJ12" s="201" t="str">
        <f>IFERROR(INDEX($B$3:$M$9,$R9,COLUMNS($AG$6:AJ12)),"")</f>
        <v/>
      </c>
      <c r="AK12" s="201" t="str">
        <f>IFERROR(INDEX($B$3:$M$9,$R9,COLUMNS($AG$6:AK12)),"")</f>
        <v/>
      </c>
      <c r="AL12" s="201" t="str">
        <f>IFERROR(INDEX($B$3:$M$9,$R9,COLUMNS($AG$6:AL12)),"")</f>
        <v/>
      </c>
      <c r="AM12" s="201" t="str">
        <f>IFERROR(INDEX($B$3:$M$9,$R9,COLUMNS($AG$6:AM12)),"")</f>
        <v/>
      </c>
      <c r="AN12" s="201" t="str">
        <f>IFERROR(INDEX($B$3:$M$9,$R9,COLUMNS($AG$6:AN12)),"")</f>
        <v/>
      </c>
      <c r="AO12" s="201" t="str">
        <f>IFERROR(INDEX($B$3:$M$9,$R9,COLUMNS($AG$6:AO12)),"")</f>
        <v/>
      </c>
      <c r="AP12" s="201" t="str">
        <f>IFERROR(INDEX($B$3:$M$9,$R9,COLUMNS($AG$6:AP12)),"")</f>
        <v/>
      </c>
      <c r="AQ12" s="201" t="str">
        <f>IFERROR(INDEX($B$3:$M$9,$R9,COLUMNS($AG$6:AQ12)),"")</f>
        <v/>
      </c>
      <c r="AR12" s="201" t="str">
        <f>IFERROR(INDEX($B$3:$M$9,$R9,COLUMNS($AG$6:AR12)),"")</f>
        <v/>
      </c>
      <c r="AS12" s="201" t="str">
        <f t="shared" si="16"/>
        <v/>
      </c>
      <c r="AT12" s="348" t="str">
        <f>IFERROR(SMALL($AS$6:$AS$12,ROWS($AS$6:AS12)),"")</f>
        <v/>
      </c>
    </row>
    <row r="13" spans="2:59">
      <c r="B13" s="201">
        <f t="shared" si="6"/>
        <v>11</v>
      </c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329"/>
      <c r="S13" s="342"/>
      <c r="T13" s="201"/>
      <c r="U13" s="201"/>
      <c r="V13" s="201"/>
      <c r="W13" s="201"/>
      <c r="X13" s="329"/>
      <c r="Y13" s="342"/>
      <c r="Z13" s="201"/>
      <c r="AA13" s="201"/>
      <c r="AB13" s="201"/>
      <c r="AC13" s="201"/>
      <c r="AD13" s="329"/>
      <c r="AE13" s="339"/>
      <c r="AF13" s="6"/>
    </row>
    <row r="14" spans="2:59">
      <c r="B14" s="201">
        <f t="shared" si="6"/>
        <v>12</v>
      </c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329"/>
      <c r="S14" s="342"/>
      <c r="T14" s="201"/>
      <c r="U14" s="201"/>
      <c r="V14" s="201"/>
      <c r="W14" s="201"/>
      <c r="X14" s="329"/>
      <c r="Y14" s="342"/>
      <c r="Z14" s="201"/>
      <c r="AA14" s="201"/>
      <c r="AB14" s="201"/>
      <c r="AC14" s="201"/>
      <c r="AD14" s="329"/>
      <c r="AE14" s="339"/>
      <c r="AF14" s="6"/>
    </row>
    <row r="15" spans="2:59" ht="15.75" customHeight="1">
      <c r="B15" s="201">
        <f t="shared" si="6"/>
        <v>13</v>
      </c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329"/>
      <c r="S15" s="342"/>
      <c r="T15" s="201"/>
      <c r="U15" s="201"/>
      <c r="V15" s="201"/>
      <c r="W15" s="201"/>
      <c r="X15" s="329"/>
      <c r="Y15" s="342"/>
      <c r="Z15" s="201"/>
      <c r="AA15" s="201"/>
      <c r="AB15" s="201"/>
      <c r="AC15" s="201"/>
      <c r="AD15" s="329"/>
      <c r="AE15" s="339"/>
      <c r="AF15" s="6"/>
      <c r="AG15" s="226" t="s">
        <v>393</v>
      </c>
      <c r="AH15" s="226" t="s">
        <v>394</v>
      </c>
      <c r="AI15" s="226" t="s">
        <v>395</v>
      </c>
      <c r="AJ15" s="226" t="s">
        <v>396</v>
      </c>
      <c r="AK15" s="363" t="s">
        <v>397</v>
      </c>
      <c r="AL15" s="363" t="s">
        <v>406</v>
      </c>
      <c r="AM15" s="363" t="s">
        <v>555</v>
      </c>
      <c r="AN15" s="226" t="s">
        <v>398</v>
      </c>
      <c r="AO15" s="226" t="s">
        <v>554</v>
      </c>
      <c r="AP15" s="226" t="s">
        <v>484</v>
      </c>
      <c r="AQ15" s="228" t="s">
        <v>531</v>
      </c>
      <c r="AR15" s="228" t="s">
        <v>532</v>
      </c>
      <c r="AS15" s="228" t="s">
        <v>556</v>
      </c>
      <c r="AT15" s="228" t="s">
        <v>556</v>
      </c>
      <c r="AV15" s="226" t="s">
        <v>393</v>
      </c>
      <c r="AW15" s="226" t="s">
        <v>394</v>
      </c>
      <c r="AX15" s="226" t="s">
        <v>395</v>
      </c>
      <c r="AY15" s="226" t="s">
        <v>396</v>
      </c>
      <c r="AZ15" s="363" t="s">
        <v>397</v>
      </c>
      <c r="BA15" s="363" t="s">
        <v>406</v>
      </c>
      <c r="BB15" s="363" t="s">
        <v>555</v>
      </c>
      <c r="BC15" s="226" t="s">
        <v>398</v>
      </c>
      <c r="BD15" s="226" t="s">
        <v>554</v>
      </c>
      <c r="BE15" s="226" t="s">
        <v>484</v>
      </c>
      <c r="BF15" s="228" t="s">
        <v>531</v>
      </c>
      <c r="BG15" s="228" t="s">
        <v>532</v>
      </c>
    </row>
    <row r="16" spans="2:59">
      <c r="B16" s="201">
        <f t="shared" si="6"/>
        <v>14</v>
      </c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329"/>
      <c r="S16" s="342"/>
      <c r="T16" s="201"/>
      <c r="U16" s="201"/>
      <c r="V16" s="201"/>
      <c r="W16" s="201"/>
      <c r="X16" s="329"/>
      <c r="Y16" s="342"/>
      <c r="Z16" s="201"/>
      <c r="AA16" s="201"/>
      <c r="AB16" s="201"/>
      <c r="AC16" s="201"/>
      <c r="AD16" s="329"/>
      <c r="AE16" s="339"/>
      <c r="AF16" s="6"/>
      <c r="AG16" s="201" t="str">
        <f>IFERROR(INDEX($B$3:$M$9,$X3,COLUMNS($AG$16:AG16)),"")</f>
        <v/>
      </c>
      <c r="AH16" s="201" t="str">
        <f>IFERROR(INDEX($B$3:$M$9,$X3,COLUMNS($AG$16:AH16)),"")</f>
        <v/>
      </c>
      <c r="AI16" s="201" t="str">
        <f>IFERROR(INDEX($B$3:$M$9,$X3,COLUMNS($AG$16:AI16)),"")</f>
        <v/>
      </c>
      <c r="AJ16" s="201" t="str">
        <f>IFERROR(INDEX($B$3:$M$9,$X3,COLUMNS($AG$16:AJ16)),"")</f>
        <v/>
      </c>
      <c r="AK16" s="201" t="str">
        <f>IFERROR(INDEX($B$3:$M$9,$X3,COLUMNS($AG$16:AK16)),"")</f>
        <v/>
      </c>
      <c r="AL16" s="201" t="str">
        <f>IFERROR(INDEX($B$3:$M$9,$X3,COLUMNS($AG$16:AL16)),"")</f>
        <v/>
      </c>
      <c r="AM16" s="201" t="str">
        <f>IFERROR(INDEX($B$3:$M$9,$X3,COLUMNS($AG$16:AM16)),"")</f>
        <v/>
      </c>
      <c r="AN16" s="201" t="str">
        <f>IFERROR(INDEX($B$3:$M$9,$X3,COLUMNS($AG$16:AN16)),"")</f>
        <v/>
      </c>
      <c r="AO16" s="201" t="str">
        <f>IFERROR(INDEX($B$3:$M$9,$X3,COLUMNS($AG$16:AO16)),"")</f>
        <v/>
      </c>
      <c r="AP16" s="201" t="str">
        <f>IFERROR(INDEX($B$3:$M$9,$X3,COLUMNS($AG$16:AP16)),"")</f>
        <v/>
      </c>
      <c r="AQ16" s="201" t="str">
        <f>IFERROR(INDEX($B$3:$M$9,$X3,COLUMNS($AG$16:AQ16)),"")</f>
        <v/>
      </c>
      <c r="AR16" s="201" t="str">
        <f>IFERROR(INDEX($B$3:$M$9,$X3,COLUMNS($AG$16:AR16)),"")</f>
        <v/>
      </c>
      <c r="AS16" s="201" t="str">
        <f>IF($AG$3=$AN$3,IF(AP16=$AS$2,AG16,""),IF(AO16=$AT$2,AG16,""))</f>
        <v/>
      </c>
      <c r="AT16" s="348" t="str">
        <f>IFERROR(SMALL($AS$16:$AS$22,ROWS($AS$16:AS16)),"")</f>
        <v/>
      </c>
      <c r="AV16" t="str">
        <f>INDEX($AG$16:$AR$22,MATCH($AT$16,$AG$16:$AG$22,0),1)</f>
        <v/>
      </c>
      <c r="AW16" t="str">
        <f>INDEX($AG$16:$AR$22,MATCH($AT$16,$AG$16:$AG$22,0),2)</f>
        <v/>
      </c>
      <c r="AX16" t="str">
        <f>INDEX($AG$16:$AR$22,MATCH($AT$16,$AG$16:$AG$22,0),3)</f>
        <v/>
      </c>
      <c r="AY16" t="str">
        <f>INDEX($AG$16:$AR$22,MATCH($AT$16,$AG$16:$AG$22,0),4)</f>
        <v/>
      </c>
      <c r="AZ16" t="str">
        <f>INDEX($AG$16:$AR$22,MATCH($AT$16,$AG$16:$AG$22,0),5)</f>
        <v/>
      </c>
      <c r="BA16" t="str">
        <f>INDEX($AG$16:$AR$22,MATCH($AT$16,$AG$16:$AG$22,0),6)</f>
        <v/>
      </c>
      <c r="BB16" t="str">
        <f>INDEX($AG$16:$AR$22,MATCH($AT$16,$AG$16:$AG$22,0),7)</f>
        <v/>
      </c>
      <c r="BC16" t="str">
        <f>INDEX($AG$16:$AR$22,MATCH($AT$16,$AG$16:$AG$22,0),8)</f>
        <v/>
      </c>
      <c r="BD16" t="str">
        <f>INDEX($AG$16:$AR$22,MATCH($AT$16,$AG$16:$AG$22,0),9)</f>
        <v/>
      </c>
      <c r="BE16" t="str">
        <f>INDEX($AG$16:$AR$22,MATCH($AT$16,$AG$16:$AG$22,0),10)</f>
        <v/>
      </c>
      <c r="BF16" t="str">
        <f>INDEX($AG$16:$AR$22,MATCH($AT$16,$AG$16:$AG$22,0),11)</f>
        <v/>
      </c>
      <c r="BG16" t="str">
        <f>INDEX($AG$16:$AR$22,MATCH($AT$16,$AG$16:$AG$22,0),12)</f>
        <v/>
      </c>
    </row>
    <row r="17" spans="33:59">
      <c r="AG17" s="201" t="str">
        <f>IFERROR(INDEX($B$3:$M$9,$X4,COLUMNS($AG$16:AG17)),"")</f>
        <v/>
      </c>
      <c r="AH17" s="201" t="str">
        <f>IFERROR(INDEX($B$3:$M$9,$X4,COLUMNS($AG$16:AH17)),"")</f>
        <v/>
      </c>
      <c r="AI17" s="201" t="str">
        <f>IFERROR(INDEX($B$3:$M$9,$X4,COLUMNS($AG$16:AI17)),"")</f>
        <v/>
      </c>
      <c r="AJ17" s="201" t="str">
        <f>IFERROR(INDEX($B$3:$M$9,$X4,COLUMNS($AG$16:AJ17)),"")</f>
        <v/>
      </c>
      <c r="AK17" s="201" t="str">
        <f>IFERROR(INDEX($B$3:$M$9,$X4,COLUMNS($AG$16:AK17)),"")</f>
        <v/>
      </c>
      <c r="AL17" s="201" t="str">
        <f>IFERROR(INDEX($B$3:$M$9,$X4,COLUMNS($AG$16:AL17)),"")</f>
        <v/>
      </c>
      <c r="AM17" s="201" t="str">
        <f>IFERROR(INDEX($B$3:$M$9,$X4,COLUMNS($AG$16:AM17)),"")</f>
        <v/>
      </c>
      <c r="AN17" s="201" t="str">
        <f>IFERROR(INDEX($B$3:$M$9,$X4,COLUMNS($AG$16:AN17)),"")</f>
        <v/>
      </c>
      <c r="AO17" s="201" t="str">
        <f>IFERROR(INDEX($B$3:$M$9,$X4,COLUMNS($AG$16:AO17)),"")</f>
        <v/>
      </c>
      <c r="AP17" s="201" t="str">
        <f>IFERROR(INDEX($B$3:$M$9,$X4,COLUMNS($AG$16:AP17)),"")</f>
        <v/>
      </c>
      <c r="AQ17" s="201" t="str">
        <f>IFERROR(INDEX($B$3:$M$9,$X4,COLUMNS($AG$16:AQ17)),"")</f>
        <v/>
      </c>
      <c r="AR17" s="201" t="str">
        <f>IFERROR(INDEX($B$3:$M$9,$X4,COLUMNS($AG$16:AR17)),"")</f>
        <v/>
      </c>
      <c r="AS17" s="201" t="str">
        <f t="shared" ref="AS17:AS22" si="17">IF($AG$3=$AN$3,IF(AP17=$AS$2,AG17,""),IF(AO17=$AT$2,AG17,""))</f>
        <v/>
      </c>
      <c r="AT17" s="348" t="str">
        <f>IFERROR(SMALL($AS$16:$AS$22,ROWS($AS$16:AS17)),"")</f>
        <v/>
      </c>
    </row>
    <row r="18" spans="33:59">
      <c r="AG18" s="201" t="str">
        <f>IFERROR(INDEX($B$3:$M$9,$X5,COLUMNS($AG$16:AG18)),"")</f>
        <v/>
      </c>
      <c r="AH18" s="201" t="str">
        <f>IFERROR(INDEX($B$3:$M$9,$X5,COLUMNS($AG$16:AH18)),"")</f>
        <v/>
      </c>
      <c r="AI18" s="201" t="str">
        <f>IFERROR(INDEX($B$3:$M$9,$X5,COLUMNS($AG$16:AI18)),"")</f>
        <v/>
      </c>
      <c r="AJ18" s="201" t="str">
        <f>IFERROR(INDEX($B$3:$M$9,$X5,COLUMNS($AG$16:AJ18)),"")</f>
        <v/>
      </c>
      <c r="AK18" s="201" t="str">
        <f>IFERROR(INDEX($B$3:$M$9,$X5,COLUMNS($AG$16:AK18)),"")</f>
        <v/>
      </c>
      <c r="AL18" s="201" t="str">
        <f>IFERROR(INDEX($B$3:$M$9,$X5,COLUMNS($AG$16:AL18)),"")</f>
        <v/>
      </c>
      <c r="AM18" s="201" t="str">
        <f>IFERROR(INDEX($B$3:$M$9,$X5,COLUMNS($AG$16:AM18)),"")</f>
        <v/>
      </c>
      <c r="AN18" s="201" t="str">
        <f>IFERROR(INDEX($B$3:$M$9,$X5,COLUMNS($AG$16:AN18)),"")</f>
        <v/>
      </c>
      <c r="AO18" s="201" t="str">
        <f>IFERROR(INDEX($B$3:$M$9,$X5,COLUMNS($AG$16:AO18)),"")</f>
        <v/>
      </c>
      <c r="AP18" s="201" t="str">
        <f>IFERROR(INDEX($B$3:$M$9,$X5,COLUMNS($AG$16:AP18)),"")</f>
        <v/>
      </c>
      <c r="AQ18" s="201" t="str">
        <f>IFERROR(INDEX($B$3:$M$9,$X5,COLUMNS($AG$16:AQ18)),"")</f>
        <v/>
      </c>
      <c r="AR18" s="201" t="str">
        <f>IFERROR(INDEX($B$3:$M$9,$X5,COLUMNS($AG$16:AR18)),"")</f>
        <v/>
      </c>
      <c r="AS18" s="201" t="str">
        <f t="shared" si="17"/>
        <v/>
      </c>
      <c r="AT18" s="348" t="str">
        <f>IFERROR(SMALL($AS$16:$AS$22,ROWS($AS$16:AS18)),"")</f>
        <v/>
      </c>
    </row>
    <row r="19" spans="33:59">
      <c r="AG19" s="201" t="str">
        <f>IFERROR(INDEX($B$3:$M$9,$X6,COLUMNS($AG$16:AG19)),"")</f>
        <v/>
      </c>
      <c r="AH19" s="201" t="str">
        <f>IFERROR(INDEX($B$3:$M$9,$X6,COLUMNS($AG$16:AH19)),"")</f>
        <v/>
      </c>
      <c r="AI19" s="201" t="str">
        <f>IFERROR(INDEX($B$3:$M$9,$X6,COLUMNS($AG$16:AI19)),"")</f>
        <v/>
      </c>
      <c r="AJ19" s="201" t="str">
        <f>IFERROR(INDEX($B$3:$M$9,$X6,COLUMNS($AG$16:AJ19)),"")</f>
        <v/>
      </c>
      <c r="AK19" s="201" t="str">
        <f>IFERROR(INDEX($B$3:$M$9,$X6,COLUMNS($AG$16:AK19)),"")</f>
        <v/>
      </c>
      <c r="AL19" s="201" t="str">
        <f>IFERROR(INDEX($B$3:$M$9,$X6,COLUMNS($AG$16:AL19)),"")</f>
        <v/>
      </c>
      <c r="AM19" s="201" t="str">
        <f>IFERROR(INDEX($B$3:$M$9,$X6,COLUMNS($AG$16:AM19)),"")</f>
        <v/>
      </c>
      <c r="AN19" s="201" t="str">
        <f>IFERROR(INDEX($B$3:$M$9,$X6,COLUMNS($AG$16:AN19)),"")</f>
        <v/>
      </c>
      <c r="AO19" s="201" t="str">
        <f>IFERROR(INDEX($B$3:$M$9,$X6,COLUMNS($AG$16:AO19)),"")</f>
        <v/>
      </c>
      <c r="AP19" s="201" t="str">
        <f>IFERROR(INDEX($B$3:$M$9,$X6,COLUMNS($AG$16:AP19)),"")</f>
        <v/>
      </c>
      <c r="AQ19" s="201" t="str">
        <f>IFERROR(INDEX($B$3:$M$9,$X6,COLUMNS($AG$16:AQ19)),"")</f>
        <v/>
      </c>
      <c r="AR19" s="201" t="str">
        <f>IFERROR(INDEX($B$3:$M$9,$X6,COLUMNS($AG$16:AR19)),"")</f>
        <v/>
      </c>
      <c r="AS19" s="201" t="str">
        <f t="shared" si="17"/>
        <v/>
      </c>
      <c r="AT19" s="348" t="str">
        <f>IFERROR(SMALL($AS$16:$AS$22,ROWS($AS$16:AS19)),"")</f>
        <v/>
      </c>
    </row>
    <row r="20" spans="33:59">
      <c r="AG20" s="201" t="str">
        <f>IFERROR(INDEX($B$3:$M$9,$X7,COLUMNS($AG$16:AG20)),"")</f>
        <v/>
      </c>
      <c r="AH20" s="201" t="str">
        <f>IFERROR(INDEX($B$3:$M$9,$X7,COLUMNS($AG$16:AH20)),"")</f>
        <v/>
      </c>
      <c r="AI20" s="201" t="str">
        <f>IFERROR(INDEX($B$3:$M$9,$X7,COLUMNS($AG$16:AI20)),"")</f>
        <v/>
      </c>
      <c r="AJ20" s="201" t="str">
        <f>IFERROR(INDEX($B$3:$M$9,$X7,COLUMNS($AG$16:AJ20)),"")</f>
        <v/>
      </c>
      <c r="AK20" s="201" t="str">
        <f>IFERROR(INDEX($B$3:$M$9,$X7,COLUMNS($AG$16:AK20)),"")</f>
        <v/>
      </c>
      <c r="AL20" s="201" t="str">
        <f>IFERROR(INDEX($B$3:$M$9,$X7,COLUMNS($AG$16:AL20)),"")</f>
        <v/>
      </c>
      <c r="AM20" s="201" t="str">
        <f>IFERROR(INDEX($B$3:$M$9,$X7,COLUMNS($AG$16:AM20)),"")</f>
        <v/>
      </c>
      <c r="AN20" s="201" t="str">
        <f>IFERROR(INDEX($B$3:$M$9,$X7,COLUMNS($AG$16:AN20)),"")</f>
        <v/>
      </c>
      <c r="AO20" s="201" t="str">
        <f>IFERROR(INDEX($B$3:$M$9,$X7,COLUMNS($AG$16:AO20)),"")</f>
        <v/>
      </c>
      <c r="AP20" s="201" t="str">
        <f>IFERROR(INDEX($B$3:$M$9,$X7,COLUMNS($AG$16:AP20)),"")</f>
        <v/>
      </c>
      <c r="AQ20" s="201" t="str">
        <f>IFERROR(INDEX($B$3:$M$9,$X7,COLUMNS($AG$16:AQ20)),"")</f>
        <v/>
      </c>
      <c r="AR20" s="201" t="str">
        <f>IFERROR(INDEX($B$3:$M$9,$X7,COLUMNS($AG$16:AR20)),"")</f>
        <v/>
      </c>
      <c r="AS20" s="201" t="str">
        <f t="shared" si="17"/>
        <v/>
      </c>
      <c r="AT20" s="348" t="str">
        <f>IFERROR(SMALL($AS$16:$AS$22,ROWS($AS$16:AS20)),"")</f>
        <v/>
      </c>
    </row>
    <row r="21" spans="33:59">
      <c r="AG21" s="201" t="str">
        <f>IFERROR(INDEX($B$3:$M$9,$X8,COLUMNS($AG$16:AG21)),"")</f>
        <v/>
      </c>
      <c r="AH21" s="201" t="str">
        <f>IFERROR(INDEX($B$3:$M$9,$X8,COLUMNS($AG$16:AH21)),"")</f>
        <v/>
      </c>
      <c r="AI21" s="201" t="str">
        <f>IFERROR(INDEX($B$3:$M$9,$X8,COLUMNS($AG$16:AI21)),"")</f>
        <v/>
      </c>
      <c r="AJ21" s="201" t="str">
        <f>IFERROR(INDEX($B$3:$M$9,$X8,COLUMNS($AG$16:AJ21)),"")</f>
        <v/>
      </c>
      <c r="AK21" s="201" t="str">
        <f>IFERROR(INDEX($B$3:$M$9,$X8,COLUMNS($AG$16:AK21)),"")</f>
        <v/>
      </c>
      <c r="AL21" s="201" t="str">
        <f>IFERROR(INDEX($B$3:$M$9,$X8,COLUMNS($AG$16:AL21)),"")</f>
        <v/>
      </c>
      <c r="AM21" s="201" t="str">
        <f>IFERROR(INDEX($B$3:$M$9,$X8,COLUMNS($AG$16:AM21)),"")</f>
        <v/>
      </c>
      <c r="AN21" s="201" t="str">
        <f>IFERROR(INDEX($B$3:$M$9,$X8,COLUMNS($AG$16:AN21)),"")</f>
        <v/>
      </c>
      <c r="AO21" s="201" t="str">
        <f>IFERROR(INDEX($B$3:$M$9,$X8,COLUMNS($AG$16:AO21)),"")</f>
        <v/>
      </c>
      <c r="AP21" s="201" t="str">
        <f>IFERROR(INDEX($B$3:$M$9,$X8,COLUMNS($AG$16:AP21)),"")</f>
        <v/>
      </c>
      <c r="AQ21" s="201" t="str">
        <f>IFERROR(INDEX($B$3:$M$9,$X8,COLUMNS($AG$16:AQ21)),"")</f>
        <v/>
      </c>
      <c r="AR21" s="201" t="str">
        <f>IFERROR(INDEX($B$3:$M$9,$X8,COLUMNS($AG$16:AR21)),"")</f>
        <v/>
      </c>
      <c r="AS21" s="201" t="str">
        <f t="shared" si="17"/>
        <v/>
      </c>
      <c r="AT21" s="348" t="str">
        <f>IFERROR(SMALL($AS$16:$AS$22,ROWS($AS$16:AS21)),"")</f>
        <v/>
      </c>
    </row>
    <row r="22" spans="33:59">
      <c r="AG22" s="201" t="str">
        <f>IFERROR(INDEX($B$3:$M$9,$X9,COLUMNS($AG$16:AG22)),"")</f>
        <v/>
      </c>
      <c r="AH22" s="201" t="str">
        <f>IFERROR(INDEX($B$3:$M$9,$X9,COLUMNS($AG$16:AH22)),"")</f>
        <v/>
      </c>
      <c r="AI22" s="201" t="str">
        <f>IFERROR(INDEX($B$3:$M$9,$X9,COLUMNS($AG$16:AI22)),"")</f>
        <v/>
      </c>
      <c r="AJ22" s="201" t="str">
        <f>IFERROR(INDEX($B$3:$M$9,$X9,COLUMNS($AG$16:AJ22)),"")</f>
        <v/>
      </c>
      <c r="AK22" s="201" t="str">
        <f>IFERROR(INDEX($B$3:$M$9,$X9,COLUMNS($AG$16:AK22)),"")</f>
        <v/>
      </c>
      <c r="AL22" s="201" t="str">
        <f>IFERROR(INDEX($B$3:$M$9,$X9,COLUMNS($AG$16:AL22)),"")</f>
        <v/>
      </c>
      <c r="AM22" s="201" t="str">
        <f>IFERROR(INDEX($B$3:$M$9,$X9,COLUMNS($AG$16:AM22)),"")</f>
        <v/>
      </c>
      <c r="AN22" s="201" t="str">
        <f>IFERROR(INDEX($B$3:$M$9,$X9,COLUMNS($AG$16:AN22)),"")</f>
        <v/>
      </c>
      <c r="AO22" s="201" t="str">
        <f>IFERROR(INDEX($B$3:$M$9,$X9,COLUMNS($AG$16:AO22)),"")</f>
        <v/>
      </c>
      <c r="AP22" s="201" t="str">
        <f>IFERROR(INDEX($B$3:$M$9,$X9,COLUMNS($AG$16:AP22)),"")</f>
        <v/>
      </c>
      <c r="AQ22" s="201" t="str">
        <f>IFERROR(INDEX($B$3:$M$9,$X9,COLUMNS($AG$16:AQ22)),"")</f>
        <v/>
      </c>
      <c r="AR22" s="201" t="str">
        <f>IFERROR(INDEX($B$3:$M$9,$X9,COLUMNS($AG$16:AR22)),"")</f>
        <v/>
      </c>
      <c r="AS22" s="201" t="str">
        <f t="shared" si="17"/>
        <v/>
      </c>
      <c r="AT22" s="348" t="str">
        <f>IFERROR(SMALL($AS$16:$AS$22,ROWS($AS$16:AS22)),"")</f>
        <v/>
      </c>
    </row>
    <row r="24" spans="33:59" ht="18" customHeight="1">
      <c r="AG24" s="226" t="s">
        <v>393</v>
      </c>
      <c r="AH24" s="226" t="s">
        <v>394</v>
      </c>
      <c r="AI24" s="226" t="s">
        <v>395</v>
      </c>
      <c r="AJ24" s="226" t="s">
        <v>396</v>
      </c>
      <c r="AK24" s="363" t="s">
        <v>397</v>
      </c>
      <c r="AL24" s="363" t="s">
        <v>406</v>
      </c>
      <c r="AM24" s="363" t="s">
        <v>555</v>
      </c>
      <c r="AN24" s="226" t="s">
        <v>398</v>
      </c>
      <c r="AO24" s="226" t="s">
        <v>554</v>
      </c>
      <c r="AP24" s="226" t="s">
        <v>484</v>
      </c>
      <c r="AQ24" s="228" t="s">
        <v>531</v>
      </c>
      <c r="AR24" s="228" t="s">
        <v>532</v>
      </c>
      <c r="AS24" s="228" t="s">
        <v>556</v>
      </c>
      <c r="AT24" s="228" t="s">
        <v>556</v>
      </c>
      <c r="AV24" s="226" t="s">
        <v>393</v>
      </c>
      <c r="AW24" s="226" t="s">
        <v>394</v>
      </c>
      <c r="AX24" s="226" t="s">
        <v>395</v>
      </c>
      <c r="AY24" s="226" t="s">
        <v>396</v>
      </c>
      <c r="AZ24" s="363" t="s">
        <v>397</v>
      </c>
      <c r="BA24" s="363" t="s">
        <v>406</v>
      </c>
      <c r="BB24" s="363" t="s">
        <v>555</v>
      </c>
      <c r="BC24" s="226" t="s">
        <v>398</v>
      </c>
      <c r="BD24" s="226" t="s">
        <v>554</v>
      </c>
      <c r="BE24" s="226" t="s">
        <v>484</v>
      </c>
      <c r="BF24" s="228" t="s">
        <v>531</v>
      </c>
      <c r="BG24" s="228" t="s">
        <v>532</v>
      </c>
    </row>
    <row r="25" spans="33:59">
      <c r="AG25" s="201" t="str">
        <f>IFERROR(INDEX($B$3:$M$9,$AD3,COLUMNS($AG$25:AG25)),"")</f>
        <v/>
      </c>
      <c r="AH25" s="201" t="str">
        <f>IFERROR(INDEX($B$3:$M$9,$AD3,COLUMNS($AG$25:AH25)),"")</f>
        <v/>
      </c>
      <c r="AI25" s="201" t="str">
        <f>IFERROR(INDEX($B$3:$M$9,$AD3,COLUMNS($AG$25:AI25)),"")</f>
        <v/>
      </c>
      <c r="AJ25" s="201" t="str">
        <f>IFERROR(INDEX($B$3:$M$9,$AD3,COLUMNS($AG$25:AJ25)),"")</f>
        <v/>
      </c>
      <c r="AK25" s="201" t="str">
        <f>IFERROR(INDEX($B$3:$M$9,$AD3,COLUMNS($AG$25:AK25)),"")</f>
        <v/>
      </c>
      <c r="AL25" s="201" t="str">
        <f>IFERROR(INDEX($B$3:$M$9,$AD3,COLUMNS($AG$25:AL25)),"")</f>
        <v/>
      </c>
      <c r="AM25" s="201" t="str">
        <f>IFERROR(INDEX($B$3:$M$9,$AD3,COLUMNS($AG$25:AM25)),"")</f>
        <v/>
      </c>
      <c r="AN25" s="201" t="str">
        <f>IFERROR(INDEX($B$3:$M$9,$AD3,COLUMNS($AG$25:AN25)),"")</f>
        <v/>
      </c>
      <c r="AO25" s="201" t="str">
        <f>IFERROR(INDEX($B$3:$M$9,$AD3,COLUMNS($AG$25:AO25)),"")</f>
        <v/>
      </c>
      <c r="AP25" s="201" t="str">
        <f>IFERROR(INDEX($B$3:$M$9,$AD3,COLUMNS($AG$25:AP25)),"")</f>
        <v/>
      </c>
      <c r="AQ25" s="201" t="str">
        <f>IFERROR(INDEX($B$3:$M$9,$AD3,COLUMNS($AG$25:AQ25)),"")</f>
        <v/>
      </c>
      <c r="AR25" s="201" t="str">
        <f>IFERROR(INDEX($B$3:$M$9,$AD3,COLUMNS($AG$25:AR25)),"")</f>
        <v/>
      </c>
      <c r="AS25" s="201" t="str">
        <f>IF($AG$3=$AN$3,IF(AP25=$AV$2,AG25,""),IF(AO25=$AW$2,AG25,""))</f>
        <v/>
      </c>
      <c r="AT25" s="348" t="str">
        <f>IFERROR(SMALL($AS$25:$AS$31,ROWS($AS$25:AS25)),"")</f>
        <v/>
      </c>
      <c r="AV25" t="str">
        <f>INDEX($AG$25:$AR$31,MATCH($AT$25,$AG$25:$AG$31,0),1)</f>
        <v/>
      </c>
      <c r="AW25" t="str">
        <f>INDEX($AG$25:$AR$31,MATCH($AT$25,$AG$25:$AG$31,0),2)</f>
        <v/>
      </c>
      <c r="AX25" t="str">
        <f>INDEX($AG$25:$AR$31,MATCH($AT$25,$AG$25:$AG$31,0),3)</f>
        <v/>
      </c>
      <c r="AY25" t="str">
        <f>INDEX($AG$25:$AR$31,MATCH($AT$25,$AG$25:$AG$31,0),4)</f>
        <v/>
      </c>
      <c r="AZ25" t="str">
        <f>INDEX($AG$25:$AR$31,MATCH($AT$25,$AG$25:$AG$31,0),5)</f>
        <v/>
      </c>
      <c r="BA25" t="str">
        <f>INDEX($AG$25:$AR$31,MATCH($AT$25,$AG$25:$AG$31,0),6)</f>
        <v/>
      </c>
      <c r="BB25" t="str">
        <f>INDEX($AG$25:$AR$31,MATCH($AT$25,$AG$25:$AG$31,0),7)</f>
        <v/>
      </c>
      <c r="BC25" t="str">
        <f>INDEX($AG$25:$AR$31,MATCH($AT$25,$AG$25:$AG$31,0),8)</f>
        <v/>
      </c>
      <c r="BD25" t="str">
        <f>INDEX($AG$25:$AR$31,MATCH($AT$25,$AG$25:$AG$31,0),9)</f>
        <v/>
      </c>
      <c r="BE25" t="str">
        <f>INDEX($AG$25:$AR$31,MATCH($AT$25,$AG$25:$AG$31,0),10)</f>
        <v/>
      </c>
      <c r="BF25" t="str">
        <f>INDEX($AG$25:$AR$31,MATCH($AT$25,$AG$25:$AG$31,0),11)</f>
        <v/>
      </c>
      <c r="BG25" t="str">
        <f>INDEX($AG$25:$AR$31,MATCH($AT$25,$AG$25:$AG$31,0),12)</f>
        <v/>
      </c>
    </row>
    <row r="26" spans="33:59">
      <c r="AG26" s="201" t="str">
        <f>IFERROR(INDEX($B$3:$M$9,$AD4,COLUMNS($AG$25:AG26)),"")</f>
        <v/>
      </c>
      <c r="AH26" s="201" t="str">
        <f>IFERROR(INDEX($B$3:$M$9,$AD4,COLUMNS($AG$25:AH26)),"")</f>
        <v/>
      </c>
      <c r="AI26" s="201" t="str">
        <f>IFERROR(INDEX($B$3:$M$9,$AD4,COLUMNS($AG$25:AI26)),"")</f>
        <v/>
      </c>
      <c r="AJ26" s="201" t="str">
        <f>IFERROR(INDEX($B$3:$M$9,$AD4,COLUMNS($AG$25:AJ26)),"")</f>
        <v/>
      </c>
      <c r="AK26" s="201" t="str">
        <f>IFERROR(INDEX($B$3:$M$9,$AD4,COLUMNS($AG$25:AK26)),"")</f>
        <v/>
      </c>
      <c r="AL26" s="201" t="str">
        <f>IFERROR(INDEX($B$3:$M$9,$AD4,COLUMNS($AG$25:AL26)),"")</f>
        <v/>
      </c>
      <c r="AM26" s="201" t="str">
        <f>IFERROR(INDEX($B$3:$M$9,$AD4,COLUMNS($AG$25:AM26)),"")</f>
        <v/>
      </c>
      <c r="AN26" s="201" t="str">
        <f>IFERROR(INDEX($B$3:$M$9,$AD4,COLUMNS($AG$25:AN26)),"")</f>
        <v/>
      </c>
      <c r="AO26" s="201" t="str">
        <f>IFERROR(INDEX($B$3:$M$9,$AD4,COLUMNS($AG$25:AO26)),"")</f>
        <v/>
      </c>
      <c r="AP26" s="201" t="str">
        <f>IFERROR(INDEX($B$3:$M$9,$AD4,COLUMNS($AG$25:AP26)),"")</f>
        <v/>
      </c>
      <c r="AQ26" s="201" t="str">
        <f>IFERROR(INDEX($B$3:$M$9,$AD4,COLUMNS($AG$25:AQ26)),"")</f>
        <v/>
      </c>
      <c r="AR26" s="201" t="str">
        <f>IFERROR(INDEX($B$3:$M$9,$AD4,COLUMNS($AG$25:AR26)),"")</f>
        <v/>
      </c>
      <c r="AS26" s="201" t="str">
        <f t="shared" ref="AS26:AS31" si="18">IF($AG$3=$AN$3,IF(AP26=$AV$2,AG26,""),IF(AO26=$AW$2,AG26,""))</f>
        <v/>
      </c>
      <c r="AT26" s="348" t="str">
        <f>IFERROR(SMALL($AS$25:$AS$31,ROWS($AS$25:AS26)),"")</f>
        <v/>
      </c>
    </row>
    <row r="27" spans="33:59">
      <c r="AG27" s="201" t="str">
        <f>IFERROR(INDEX($B$3:$M$9,$AD5,COLUMNS($AG$25:AG27)),"")</f>
        <v/>
      </c>
      <c r="AH27" s="201" t="str">
        <f>IFERROR(INDEX($B$3:$M$9,$AD5,COLUMNS($AG$25:AH27)),"")</f>
        <v/>
      </c>
      <c r="AI27" s="201" t="str">
        <f>IFERROR(INDEX($B$3:$M$9,$AD5,COLUMNS($AG$25:AI27)),"")</f>
        <v/>
      </c>
      <c r="AJ27" s="201" t="str">
        <f>IFERROR(INDEX($B$3:$M$9,$AD5,COLUMNS($AG$25:AJ27)),"")</f>
        <v/>
      </c>
      <c r="AK27" s="201" t="str">
        <f>IFERROR(INDEX($B$3:$M$9,$AD5,COLUMNS($AG$25:AK27)),"")</f>
        <v/>
      </c>
      <c r="AL27" s="201" t="str">
        <f>IFERROR(INDEX($B$3:$M$9,$AD5,COLUMNS($AG$25:AL27)),"")</f>
        <v/>
      </c>
      <c r="AM27" s="201" t="str">
        <f>IFERROR(INDEX($B$3:$M$9,$AD5,COLUMNS($AG$25:AM27)),"")</f>
        <v/>
      </c>
      <c r="AN27" s="201" t="str">
        <f>IFERROR(INDEX($B$3:$M$9,$AD5,COLUMNS($AG$25:AN27)),"")</f>
        <v/>
      </c>
      <c r="AO27" s="201" t="str">
        <f>IFERROR(INDEX($B$3:$M$9,$AD5,COLUMNS($AG$25:AO27)),"")</f>
        <v/>
      </c>
      <c r="AP27" s="201" t="str">
        <f>IFERROR(INDEX($B$3:$M$9,$AD5,COLUMNS($AG$25:AP27)),"")</f>
        <v/>
      </c>
      <c r="AQ27" s="201" t="str">
        <f>IFERROR(INDEX($B$3:$M$9,$AD5,COLUMNS($AG$25:AQ27)),"")</f>
        <v/>
      </c>
      <c r="AR27" s="201" t="str">
        <f>IFERROR(INDEX($B$3:$M$9,$AD5,COLUMNS($AG$25:AR27)),"")</f>
        <v/>
      </c>
      <c r="AS27" s="201" t="str">
        <f t="shared" si="18"/>
        <v/>
      </c>
      <c r="AT27" s="348" t="str">
        <f>IFERROR(SMALL($AS$25:$AS$31,ROWS($AS$25:AS27)),"")</f>
        <v/>
      </c>
    </row>
    <row r="28" spans="33:59">
      <c r="AG28" s="201" t="str">
        <f>IFERROR(INDEX($B$3:$M$9,$AD6,COLUMNS($AG$25:AG28)),"")</f>
        <v/>
      </c>
      <c r="AH28" s="201" t="str">
        <f>IFERROR(INDEX($B$3:$M$9,$AD6,COLUMNS($AG$25:AH28)),"")</f>
        <v/>
      </c>
      <c r="AI28" s="201" t="str">
        <f>IFERROR(INDEX($B$3:$M$9,$AD6,COLUMNS($AG$25:AI28)),"")</f>
        <v/>
      </c>
      <c r="AJ28" s="201" t="str">
        <f>IFERROR(INDEX($B$3:$M$9,$AD6,COLUMNS($AG$25:AJ28)),"")</f>
        <v/>
      </c>
      <c r="AK28" s="201" t="str">
        <f>IFERROR(INDEX($B$3:$M$9,$AD6,COLUMNS($AG$25:AK28)),"")</f>
        <v/>
      </c>
      <c r="AL28" s="201" t="str">
        <f>IFERROR(INDEX($B$3:$M$9,$AD6,COLUMNS($AG$25:AL28)),"")</f>
        <v/>
      </c>
      <c r="AM28" s="201" t="str">
        <f>IFERROR(INDEX($B$3:$M$9,$AD6,COLUMNS($AG$25:AM28)),"")</f>
        <v/>
      </c>
      <c r="AN28" s="201" t="str">
        <f>IFERROR(INDEX($B$3:$M$9,$AD6,COLUMNS($AG$25:AN28)),"")</f>
        <v/>
      </c>
      <c r="AO28" s="201" t="str">
        <f>IFERROR(INDEX($B$3:$M$9,$AD6,COLUMNS($AG$25:AO28)),"")</f>
        <v/>
      </c>
      <c r="AP28" s="201" t="str">
        <f>IFERROR(INDEX($B$3:$M$9,$AD6,COLUMNS($AG$25:AP28)),"")</f>
        <v/>
      </c>
      <c r="AQ28" s="201" t="str">
        <f>IFERROR(INDEX($B$3:$M$9,$AD6,COLUMNS($AG$25:AQ28)),"")</f>
        <v/>
      </c>
      <c r="AR28" s="201" t="str">
        <f>IFERROR(INDEX($B$3:$M$9,$AD6,COLUMNS($AG$25:AR28)),"")</f>
        <v/>
      </c>
      <c r="AS28" s="201" t="str">
        <f t="shared" si="18"/>
        <v/>
      </c>
      <c r="AT28" s="348" t="str">
        <f>IFERROR(SMALL($AS$25:$AS$31,ROWS($AS$25:AS28)),"")</f>
        <v/>
      </c>
    </row>
    <row r="29" spans="33:59">
      <c r="AG29" s="201" t="str">
        <f>IFERROR(INDEX($B$3:$M$9,$AD7,COLUMNS($AG$25:AG29)),"")</f>
        <v/>
      </c>
      <c r="AH29" s="201" t="str">
        <f>IFERROR(INDEX($B$3:$M$9,$AD7,COLUMNS($AG$25:AH29)),"")</f>
        <v/>
      </c>
      <c r="AI29" s="201" t="str">
        <f>IFERROR(INDEX($B$3:$M$9,$AD7,COLUMNS($AG$25:AI29)),"")</f>
        <v/>
      </c>
      <c r="AJ29" s="201" t="str">
        <f>IFERROR(INDEX($B$3:$M$9,$AD7,COLUMNS($AG$25:AJ29)),"")</f>
        <v/>
      </c>
      <c r="AK29" s="201" t="str">
        <f>IFERROR(INDEX($B$3:$M$9,$AD7,COLUMNS($AG$25:AK29)),"")</f>
        <v/>
      </c>
      <c r="AL29" s="201" t="str">
        <f>IFERROR(INDEX($B$3:$M$9,$AD7,COLUMNS($AG$25:AL29)),"")</f>
        <v/>
      </c>
      <c r="AM29" s="201" t="str">
        <f>IFERROR(INDEX($B$3:$M$9,$AD7,COLUMNS($AG$25:AM29)),"")</f>
        <v/>
      </c>
      <c r="AN29" s="201" t="str">
        <f>IFERROR(INDEX($B$3:$M$9,$AD7,COLUMNS($AG$25:AN29)),"")</f>
        <v/>
      </c>
      <c r="AO29" s="201" t="str">
        <f>IFERROR(INDEX($B$3:$M$9,$AD7,COLUMNS($AG$25:AO29)),"")</f>
        <v/>
      </c>
      <c r="AP29" s="201" t="str">
        <f>IFERROR(INDEX($B$3:$M$9,$AD7,COLUMNS($AG$25:AP29)),"")</f>
        <v/>
      </c>
      <c r="AQ29" s="201" t="str">
        <f>IFERROR(INDEX($B$3:$M$9,$AD7,COLUMNS($AG$25:AQ29)),"")</f>
        <v/>
      </c>
      <c r="AR29" s="201" t="str">
        <f>IFERROR(INDEX($B$3:$M$9,$AD7,COLUMNS($AG$25:AR29)),"")</f>
        <v/>
      </c>
      <c r="AS29" s="201" t="str">
        <f t="shared" si="18"/>
        <v/>
      </c>
      <c r="AT29" s="348" t="str">
        <f>IFERROR(SMALL($AS$25:$AS$31,ROWS($AS$25:AS29)),"")</f>
        <v/>
      </c>
    </row>
    <row r="30" spans="33:59">
      <c r="AG30" s="201" t="str">
        <f>IFERROR(INDEX($B$3:$M$9,$AD8,COLUMNS($AG$25:AG30)),"")</f>
        <v/>
      </c>
      <c r="AH30" s="201" t="str">
        <f>IFERROR(INDEX($B$3:$M$9,$AD8,COLUMNS($AG$25:AH30)),"")</f>
        <v/>
      </c>
      <c r="AI30" s="201" t="str">
        <f>IFERROR(INDEX($B$3:$M$9,$AD8,COLUMNS($AG$25:AI30)),"")</f>
        <v/>
      </c>
      <c r="AJ30" s="201" t="str">
        <f>IFERROR(INDEX($B$3:$M$9,$AD8,COLUMNS($AG$25:AJ30)),"")</f>
        <v/>
      </c>
      <c r="AK30" s="201" t="str">
        <f>IFERROR(INDEX($B$3:$M$9,$AD8,COLUMNS($AG$25:AK30)),"")</f>
        <v/>
      </c>
      <c r="AL30" s="201" t="str">
        <f>IFERROR(INDEX($B$3:$M$9,$AD8,COLUMNS($AG$25:AL30)),"")</f>
        <v/>
      </c>
      <c r="AM30" s="201" t="str">
        <f>IFERROR(INDEX($B$3:$M$9,$AD8,COLUMNS($AG$25:AM30)),"")</f>
        <v/>
      </c>
      <c r="AN30" s="201" t="str">
        <f>IFERROR(INDEX($B$3:$M$9,$AD8,COLUMNS($AG$25:AN30)),"")</f>
        <v/>
      </c>
      <c r="AO30" s="201" t="str">
        <f>IFERROR(INDEX($B$3:$M$9,$AD8,COLUMNS($AG$25:AO30)),"")</f>
        <v/>
      </c>
      <c r="AP30" s="201" t="str">
        <f>IFERROR(INDEX($B$3:$M$9,$AD8,COLUMNS($AG$25:AP30)),"")</f>
        <v/>
      </c>
      <c r="AQ30" s="201" t="str">
        <f>IFERROR(INDEX($B$3:$M$9,$AD8,COLUMNS($AG$25:AQ30)),"")</f>
        <v/>
      </c>
      <c r="AR30" s="201" t="str">
        <f>IFERROR(INDEX($B$3:$M$9,$AD8,COLUMNS($AG$25:AR30)),"")</f>
        <v/>
      </c>
      <c r="AS30" s="201" t="str">
        <f t="shared" si="18"/>
        <v/>
      </c>
      <c r="AT30" s="348" t="str">
        <f>IFERROR(SMALL($AS$25:$AS$31,ROWS($AS$25:AS30)),"")</f>
        <v/>
      </c>
    </row>
    <row r="31" spans="33:59">
      <c r="AG31" s="201" t="str">
        <f>IFERROR(INDEX($B$3:$M$9,$AD9,COLUMNS($AG$25:AG31)),"")</f>
        <v/>
      </c>
      <c r="AH31" s="201" t="str">
        <f>IFERROR(INDEX($B$3:$M$9,$AD9,COLUMNS($AG$25:AH31)),"")</f>
        <v/>
      </c>
      <c r="AI31" s="201" t="str">
        <f>IFERROR(INDEX($B$3:$M$9,$AD9,COLUMNS($AG$25:AI31)),"")</f>
        <v/>
      </c>
      <c r="AJ31" s="201" t="str">
        <f>IFERROR(INDEX($B$3:$M$9,$AD9,COLUMNS($AG$25:AJ31)),"")</f>
        <v/>
      </c>
      <c r="AK31" s="201" t="str">
        <f>IFERROR(INDEX($B$3:$M$9,$AD9,COLUMNS($AG$25:AK31)),"")</f>
        <v/>
      </c>
      <c r="AL31" s="201" t="str">
        <f>IFERROR(INDEX($B$3:$M$9,$AD9,COLUMNS($AG$25:AL31)),"")</f>
        <v/>
      </c>
      <c r="AM31" s="201" t="str">
        <f>IFERROR(INDEX($B$3:$M$9,$AD9,COLUMNS($AG$25:AM31)),"")</f>
        <v/>
      </c>
      <c r="AN31" s="201" t="str">
        <f>IFERROR(INDEX($B$3:$M$9,$AD9,COLUMNS($AG$25:AN31)),"")</f>
        <v/>
      </c>
      <c r="AO31" s="201" t="str">
        <f>IFERROR(INDEX($B$3:$M$9,$AD9,COLUMNS($AG$25:AO31)),"")</f>
        <v/>
      </c>
      <c r="AP31" s="201" t="str">
        <f>IFERROR(INDEX($B$3:$M$9,$AD9,COLUMNS($AG$25:AP31)),"")</f>
        <v/>
      </c>
      <c r="AQ31" s="201" t="str">
        <f>IFERROR(INDEX($B$3:$M$9,$AD9,COLUMNS($AG$25:AQ31)),"")</f>
        <v/>
      </c>
      <c r="AR31" s="201" t="str">
        <f>IFERROR(INDEX($B$3:$M$9,$AD9,COLUMNS($AG$25:AR31)),"")</f>
        <v/>
      </c>
      <c r="AS31" s="201" t="str">
        <f t="shared" si="18"/>
        <v/>
      </c>
      <c r="AT31" s="348" t="str">
        <f>IFERROR(SMALL($AS$25:$AS$31,ROWS($AS$25:AS31)),"")</f>
        <v/>
      </c>
    </row>
  </sheetData>
  <autoFilter ref="B2:R16">
    <sortState ref="B3:R16">
      <sortCondition ref="J2:J16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51"/>
  <sheetViews>
    <sheetView topLeftCell="F1" zoomScale="90" zoomScaleNormal="90" workbookViewId="0">
      <selection activeCell="S19" sqref="S19"/>
    </sheetView>
  </sheetViews>
  <sheetFormatPr defaultRowHeight="15"/>
  <cols>
    <col min="1" max="1" width="15.85546875" customWidth="1"/>
    <col min="3" max="3" width="44.28515625" bestFit="1" customWidth="1"/>
    <col min="4" max="4" width="17.140625" customWidth="1"/>
    <col min="5" max="5" width="22.28515625" customWidth="1"/>
    <col min="6" max="6" width="22.42578125" customWidth="1"/>
    <col min="7" max="8" width="10.28515625" customWidth="1"/>
    <col min="9" max="9" width="12.140625" customWidth="1"/>
    <col min="10" max="10" width="19.42578125" customWidth="1"/>
    <col min="11" max="11" width="14.28515625" customWidth="1"/>
    <col min="12" max="12" width="13.85546875" customWidth="1"/>
    <col min="13" max="13" width="10.28515625" style="329" customWidth="1"/>
    <col min="14" max="14" width="9.140625" style="201"/>
    <col min="15" max="15" width="9.140625" style="329"/>
    <col min="16" max="16" width="9.140625" style="201"/>
    <col min="17" max="17" width="9.140625" customWidth="1"/>
    <col min="18" max="18" width="24.28515625" customWidth="1"/>
    <col min="19" max="19" width="20.5703125" customWidth="1"/>
    <col min="20" max="20" width="9.140625" customWidth="1"/>
    <col min="25" max="25" width="13.85546875" customWidth="1"/>
    <col min="28" max="29" width="13.28515625" bestFit="1" customWidth="1"/>
  </cols>
  <sheetData>
    <row r="1" spans="1:43" ht="15" customHeight="1">
      <c r="B1" s="555" t="s">
        <v>536</v>
      </c>
      <c r="C1" s="564" t="s">
        <v>394</v>
      </c>
      <c r="D1" s="564" t="s">
        <v>395</v>
      </c>
      <c r="E1" s="563" t="s">
        <v>454</v>
      </c>
      <c r="F1" s="565" t="s">
        <v>455</v>
      </c>
      <c r="G1" s="566"/>
      <c r="H1" s="566"/>
      <c r="I1" s="566"/>
      <c r="J1" s="567"/>
      <c r="K1" s="563" t="s">
        <v>531</v>
      </c>
      <c r="L1" s="563" t="s">
        <v>532</v>
      </c>
      <c r="M1" s="563" t="s">
        <v>503</v>
      </c>
      <c r="N1" s="563"/>
      <c r="O1" s="563"/>
      <c r="P1" s="563"/>
    </row>
    <row r="2" spans="1:43" ht="30" customHeight="1">
      <c r="A2" s="336" t="s">
        <v>545</v>
      </c>
      <c r="B2" s="555"/>
      <c r="C2" s="564"/>
      <c r="D2" s="564"/>
      <c r="E2" s="564"/>
      <c r="F2" s="227" t="s">
        <v>457</v>
      </c>
      <c r="G2" s="227" t="s">
        <v>461</v>
      </c>
      <c r="H2" s="227" t="s">
        <v>484</v>
      </c>
      <c r="I2" s="227" t="s">
        <v>458</v>
      </c>
      <c r="J2" s="227" t="s">
        <v>131</v>
      </c>
      <c r="K2" s="564"/>
      <c r="L2" s="564"/>
      <c r="M2" s="563"/>
      <c r="N2" s="563"/>
      <c r="O2" s="563"/>
      <c r="P2" s="563"/>
      <c r="R2" s="325" t="s">
        <v>528</v>
      </c>
      <c r="S2" s="325" t="s">
        <v>527</v>
      </c>
      <c r="U2" s="216" t="s">
        <v>537</v>
      </c>
      <c r="V2" s="328">
        <f>MAX(H3:H12)</f>
        <v>9</v>
      </c>
      <c r="W2">
        <f>MIN(J3:J12)</f>
        <v>93333.333333333328</v>
      </c>
      <c r="Y2" s="247" t="s">
        <v>174</v>
      </c>
      <c r="AA2" s="216" t="s">
        <v>543</v>
      </c>
      <c r="AB2">
        <f>MAX(Y7:Y16)</f>
        <v>0</v>
      </c>
      <c r="AC2">
        <f>MIN(AA7:AA16)</f>
        <v>0</v>
      </c>
    </row>
    <row r="3" spans="1:43" ht="15" customHeight="1">
      <c r="B3" s="201">
        <f>1</f>
        <v>1</v>
      </c>
      <c r="C3" s="347" t="s">
        <v>459</v>
      </c>
      <c r="D3" s="201"/>
      <c r="E3" s="201"/>
      <c r="F3" s="201" t="s">
        <v>533</v>
      </c>
      <c r="G3" s="335">
        <v>22</v>
      </c>
      <c r="H3" s="334">
        <v>2</v>
      </c>
      <c r="I3" s="201">
        <v>2</v>
      </c>
      <c r="J3" s="335">
        <f>125000*2</f>
        <v>250000</v>
      </c>
      <c r="K3" s="305">
        <f t="shared" ref="K3:K12" si="0">(30000+40000+250000+750000)/5</f>
        <v>214000</v>
      </c>
      <c r="L3" s="305">
        <f t="shared" ref="L3:L12" si="1">(150000+180000+6000+600000+36000)/5</f>
        <v>194400</v>
      </c>
      <c r="M3" s="329" t="str">
        <f>IF($R$3=$Y$2,IF($V$2=H3,B3,""),IF($W$2=J3,B3,""))</f>
        <v/>
      </c>
      <c r="N3" s="201" t="str">
        <f>IF($S$3&lt;=I3,B3,"")</f>
        <v/>
      </c>
      <c r="O3" s="329" t="str">
        <f t="shared" ref="O3:O12" si="2">IF(M3=N3,IF(N3&lt;&gt;"",B3,""),"")</f>
        <v/>
      </c>
      <c r="P3" s="201" t="str">
        <f>IFERROR(SMALL($O$3:$O$12,ROWS($O$3:O3)),"")</f>
        <v/>
      </c>
      <c r="R3" t="str">
        <f>Entry!E32</f>
        <v xml:space="preserve">Highest Rated </v>
      </c>
      <c r="S3" t="str">
        <f>Entry!E31</f>
        <v>Please enter</v>
      </c>
      <c r="U3" s="216"/>
      <c r="Y3" s="247" t="s">
        <v>477</v>
      </c>
      <c r="AA3" s="216"/>
    </row>
    <row r="4" spans="1:43" ht="15" customHeight="1">
      <c r="B4" s="201">
        <f t="shared" ref="B4:B51" si="3">B3+1</f>
        <v>2</v>
      </c>
      <c r="C4" s="347" t="s">
        <v>460</v>
      </c>
      <c r="D4" s="201"/>
      <c r="E4" s="201"/>
      <c r="F4" s="201" t="s">
        <v>534</v>
      </c>
      <c r="G4" s="335">
        <f t="shared" ref="G4:G12" si="4">G3-0.5</f>
        <v>21.5</v>
      </c>
      <c r="H4" s="334">
        <f>H3+0.5</f>
        <v>2.5</v>
      </c>
      <c r="I4" s="201">
        <v>3</v>
      </c>
      <c r="J4" s="335">
        <f>(70000/3)*4</f>
        <v>93333.333333333328</v>
      </c>
      <c r="K4" s="305">
        <f t="shared" si="0"/>
        <v>214000</v>
      </c>
      <c r="L4" s="305">
        <f t="shared" si="1"/>
        <v>194400</v>
      </c>
      <c r="M4" s="329" t="str">
        <f t="shared" ref="M4:M12" si="5">IF($R$3=$Y$2,IF($V$2=H4,B4,""),IF($W$2=J4,B4,""))</f>
        <v/>
      </c>
      <c r="N4" s="201" t="str">
        <f t="shared" ref="N4:N12" si="6">IF($S$3&lt;=I4,B4,"")</f>
        <v/>
      </c>
      <c r="O4" s="329" t="str">
        <f t="shared" si="2"/>
        <v/>
      </c>
      <c r="P4" s="201" t="str">
        <f>IFERROR(SMALL($O$3:$O$12,ROWS($O$3:O4)),"")</f>
        <v/>
      </c>
    </row>
    <row r="5" spans="1:43" ht="15" customHeight="1">
      <c r="B5" s="201">
        <f t="shared" si="3"/>
        <v>3</v>
      </c>
      <c r="C5" s="347" t="s">
        <v>407</v>
      </c>
      <c r="D5" s="201"/>
      <c r="E5" s="201"/>
      <c r="F5" s="201" t="s">
        <v>533</v>
      </c>
      <c r="G5" s="335">
        <f t="shared" si="4"/>
        <v>21</v>
      </c>
      <c r="H5" s="334">
        <f>H4+0.5</f>
        <v>3</v>
      </c>
      <c r="I5" s="201">
        <v>1</v>
      </c>
      <c r="J5" s="335">
        <f>125000*2</f>
        <v>250000</v>
      </c>
      <c r="K5" s="305">
        <f t="shared" si="0"/>
        <v>214000</v>
      </c>
      <c r="L5" s="305">
        <f t="shared" si="1"/>
        <v>194400</v>
      </c>
      <c r="M5" s="329" t="str">
        <f t="shared" si="5"/>
        <v/>
      </c>
      <c r="N5" s="201" t="str">
        <f t="shared" si="6"/>
        <v/>
      </c>
      <c r="O5" s="329" t="str">
        <f t="shared" si="2"/>
        <v/>
      </c>
      <c r="P5" s="201" t="str">
        <f>IFERROR(SMALL($O$3:$O$12,ROWS($O$3:O5)),"")</f>
        <v/>
      </c>
      <c r="R5" s="331" t="s">
        <v>539</v>
      </c>
      <c r="S5" s="555" t="s">
        <v>536</v>
      </c>
      <c r="T5" s="564" t="s">
        <v>394</v>
      </c>
      <c r="U5" s="564" t="s">
        <v>395</v>
      </c>
      <c r="V5" s="563" t="s">
        <v>454</v>
      </c>
      <c r="W5" s="565" t="s">
        <v>455</v>
      </c>
      <c r="X5" s="566"/>
      <c r="Y5" s="566"/>
      <c r="Z5" s="566"/>
      <c r="AA5" s="567"/>
      <c r="AB5" s="563" t="s">
        <v>531</v>
      </c>
      <c r="AC5" s="563" t="s">
        <v>532</v>
      </c>
      <c r="AD5" s="568" t="s">
        <v>541</v>
      </c>
      <c r="AE5" s="568" t="s">
        <v>542</v>
      </c>
      <c r="AG5" s="555" t="s">
        <v>536</v>
      </c>
      <c r="AH5" s="564" t="s">
        <v>394</v>
      </c>
      <c r="AI5" s="564" t="s">
        <v>395</v>
      </c>
      <c r="AJ5" s="563" t="s">
        <v>454</v>
      </c>
      <c r="AK5" s="565" t="s">
        <v>455</v>
      </c>
      <c r="AL5" s="566"/>
      <c r="AM5" s="566"/>
      <c r="AN5" s="566"/>
      <c r="AO5" s="567"/>
      <c r="AP5" s="563" t="s">
        <v>531</v>
      </c>
      <c r="AQ5" s="563" t="s">
        <v>532</v>
      </c>
    </row>
    <row r="6" spans="1:43" ht="30">
      <c r="B6" s="201">
        <f t="shared" si="3"/>
        <v>4</v>
      </c>
      <c r="C6" s="347" t="s">
        <v>408</v>
      </c>
      <c r="D6" s="201"/>
      <c r="E6" s="201"/>
      <c r="F6" s="201" t="s">
        <v>534</v>
      </c>
      <c r="G6" s="335">
        <f t="shared" si="4"/>
        <v>20.5</v>
      </c>
      <c r="H6" s="334">
        <v>6.5</v>
      </c>
      <c r="I6" s="201">
        <v>2</v>
      </c>
      <c r="J6" s="335">
        <f>(70000/3)*4</f>
        <v>93333.333333333328</v>
      </c>
      <c r="K6" s="305">
        <f t="shared" si="0"/>
        <v>214000</v>
      </c>
      <c r="L6" s="305">
        <f t="shared" si="1"/>
        <v>194400</v>
      </c>
      <c r="M6" s="329" t="str">
        <f t="shared" si="5"/>
        <v/>
      </c>
      <c r="N6" s="201" t="str">
        <f t="shared" si="6"/>
        <v/>
      </c>
      <c r="O6" s="329" t="str">
        <f t="shared" si="2"/>
        <v/>
      </c>
      <c r="P6" s="201" t="str">
        <f>IFERROR(SMALL($O$3:$O$12,ROWS($O$3:O6)),"")</f>
        <v/>
      </c>
      <c r="S6" s="555"/>
      <c r="T6" s="564"/>
      <c r="U6" s="564"/>
      <c r="V6" s="564"/>
      <c r="W6" s="227" t="s">
        <v>457</v>
      </c>
      <c r="X6" s="227" t="s">
        <v>461</v>
      </c>
      <c r="Y6" s="227" t="s">
        <v>484</v>
      </c>
      <c r="Z6" s="227" t="s">
        <v>458</v>
      </c>
      <c r="AA6" s="227" t="s">
        <v>131</v>
      </c>
      <c r="AB6" s="564"/>
      <c r="AC6" s="564"/>
      <c r="AD6" s="569"/>
      <c r="AE6" s="570"/>
      <c r="AF6" s="342"/>
      <c r="AG6" s="571"/>
      <c r="AH6" s="572"/>
      <c r="AI6" s="572"/>
      <c r="AJ6" s="572"/>
      <c r="AK6" s="227" t="s">
        <v>457</v>
      </c>
      <c r="AL6" s="227" t="s">
        <v>461</v>
      </c>
      <c r="AM6" s="227" t="s">
        <v>484</v>
      </c>
      <c r="AN6" s="227" t="s">
        <v>458</v>
      </c>
      <c r="AO6" s="227" t="s">
        <v>131</v>
      </c>
      <c r="AP6" s="564"/>
      <c r="AQ6" s="564"/>
    </row>
    <row r="7" spans="1:43">
      <c r="B7" s="201">
        <f t="shared" si="3"/>
        <v>5</v>
      </c>
      <c r="C7" s="347" t="s">
        <v>409</v>
      </c>
      <c r="D7" s="201"/>
      <c r="E7" s="201"/>
      <c r="F7" s="201" t="s">
        <v>533</v>
      </c>
      <c r="G7" s="335">
        <f t="shared" si="4"/>
        <v>20</v>
      </c>
      <c r="H7" s="334">
        <f>H6+0.5</f>
        <v>7</v>
      </c>
      <c r="I7" s="201">
        <v>3</v>
      </c>
      <c r="J7" s="335">
        <f>125000*2</f>
        <v>250000</v>
      </c>
      <c r="K7" s="305">
        <f t="shared" si="0"/>
        <v>214000</v>
      </c>
      <c r="L7" s="305">
        <f t="shared" si="1"/>
        <v>194400</v>
      </c>
      <c r="M7" s="329" t="str">
        <f t="shared" si="5"/>
        <v/>
      </c>
      <c r="N7" s="201" t="str">
        <f t="shared" si="6"/>
        <v/>
      </c>
      <c r="O7" s="329" t="str">
        <f t="shared" si="2"/>
        <v/>
      </c>
      <c r="P7" s="201" t="str">
        <f>IFERROR(SMALL($O$3:$O$12,ROWS($O$3:O7)),"")</f>
        <v/>
      </c>
      <c r="S7" s="201" t="str">
        <f>IFERROR(INDEX($B$3:$L$12,$P3,COLUMNS($S$7:S7)),"")</f>
        <v/>
      </c>
      <c r="T7" s="201" t="str">
        <f>IFERROR(INDEX($B$3:$L$12,$P3,COLUMNS($S$7:T7)),"")</f>
        <v/>
      </c>
      <c r="U7" s="201" t="str">
        <f>IFERROR(INDEX($B$3:$L$12,$P3,COLUMNS($S$7:U7)),"")</f>
        <v/>
      </c>
      <c r="V7" s="201" t="str">
        <f>IFERROR(INDEX($B$3:$L$12,$P3,COLUMNS($S$7:V7)),"")</f>
        <v/>
      </c>
      <c r="W7" s="201" t="str">
        <f>IFERROR(INDEX($B$3:$L$12,$P3,COLUMNS($S$7:W7)),"")</f>
        <v/>
      </c>
      <c r="X7" s="201" t="str">
        <f>IFERROR(INDEX($B$3:$L$12,$P3,COLUMNS($S$7:X7)),"")</f>
        <v/>
      </c>
      <c r="Y7" s="201" t="str">
        <f>IFERROR(INDEX($B$3:$L$12,$P3,COLUMNS($S$7:Y7)),"")</f>
        <v/>
      </c>
      <c r="Z7" s="201" t="str">
        <f>IFERROR(INDEX($B$3:$L$12,$P3,COLUMNS($S$7:Z7)),"")</f>
        <v/>
      </c>
      <c r="AA7" s="201" t="str">
        <f>IFERROR(INDEX($B$3:$L$12,$P3,COLUMNS($S$7:AA7)),"")</f>
        <v/>
      </c>
      <c r="AB7" s="390" t="str">
        <f>IFERROR(INDEX($B$3:$L$12,$P3,COLUMNS($S$7:AB7)),"")</f>
        <v/>
      </c>
      <c r="AC7" s="390" t="str">
        <f>IFERROR(INDEX($B$3:$L$12,$P3,COLUMNS($S$7:AC7)),"")</f>
        <v/>
      </c>
      <c r="AD7" s="352" t="str">
        <f>IF($R$3=$Y$3,IF(Y7=$AB$2,S7,""),IF(AA7=$AC$2,S7,""))</f>
        <v/>
      </c>
      <c r="AE7" s="353" t="str">
        <f>IFERROR(SMALL($AD$7:$AD$16,ROWS($AD$7:AD7)),"")</f>
        <v/>
      </c>
      <c r="AF7" s="355" t="str">
        <f>IFERROR(INDEX($B$3:$L$12,$P3,COLUMNS($S$7:AF7)),"")</f>
        <v/>
      </c>
      <c r="AG7" s="99" t="str">
        <f>INDEX($S$7:$AC$16,MATCH($AE$7,$S$7:$S$16,0),1)</f>
        <v/>
      </c>
      <c r="AH7" s="99" t="str">
        <f>INDEX($S$7:$AC$16,MATCH($AE$7,$S$7:$S$16,0),2)</f>
        <v/>
      </c>
      <c r="AI7" s="99" t="str">
        <f>INDEX($S$7:$AC$16,MATCH($AE$7,$S$7:$S$16,0),3)</f>
        <v/>
      </c>
      <c r="AJ7" s="99" t="str">
        <f>INDEX($S$7:$AC$16,MATCH($AE$7,$S$7:$S$16,0),4)</f>
        <v/>
      </c>
      <c r="AK7" s="99" t="str">
        <f>INDEX($S$7:$AC$16,MATCH($AE$7,$S$7:$S$16,0),5)</f>
        <v/>
      </c>
      <c r="AL7" s="99" t="str">
        <f>INDEX($S$7:$AC$16,MATCH($AE$7,$S$7:$S$16,0),6)</f>
        <v/>
      </c>
      <c r="AM7" s="99" t="str">
        <f>INDEX($S$7:$AC$16,MATCH($AE$7,$S$7:$S$16,0),7)</f>
        <v/>
      </c>
      <c r="AN7" s="99" t="str">
        <f>INDEX($S$7:$AC$16,MATCH($AE$7,$S$7:$S$16,0),8)</f>
        <v/>
      </c>
      <c r="AO7" s="99" t="str">
        <f>INDEX($S$7:$AC$16,MATCH($AE$7,$S$7:$S$16,0),9)</f>
        <v/>
      </c>
      <c r="AP7" s="99" t="str">
        <f>INDEX($S$7:$AC$16,MATCH($AE$7,$S$7:$S$16,0),10)</f>
        <v/>
      </c>
      <c r="AQ7" s="99" t="str">
        <f>INDEX($S$7:$AC$16,MATCH($AE$7,$S$7:$S$16,0),11)</f>
        <v/>
      </c>
    </row>
    <row r="8" spans="1:43">
      <c r="B8" s="201">
        <f t="shared" si="3"/>
        <v>6</v>
      </c>
      <c r="C8" s="347" t="s">
        <v>410</v>
      </c>
      <c r="D8" s="201"/>
      <c r="E8" s="201"/>
      <c r="F8" s="201" t="s">
        <v>534</v>
      </c>
      <c r="G8" s="335">
        <f t="shared" si="4"/>
        <v>19.5</v>
      </c>
      <c r="H8" s="334">
        <f>H7+0.5</f>
        <v>7.5</v>
      </c>
      <c r="I8" s="201">
        <v>1</v>
      </c>
      <c r="J8" s="335">
        <f>(70000/3)*4</f>
        <v>93333.333333333328</v>
      </c>
      <c r="K8" s="305">
        <f t="shared" si="0"/>
        <v>214000</v>
      </c>
      <c r="L8" s="305">
        <f t="shared" si="1"/>
        <v>194400</v>
      </c>
      <c r="M8" s="329" t="str">
        <f t="shared" si="5"/>
        <v/>
      </c>
      <c r="N8" s="201" t="str">
        <f t="shared" si="6"/>
        <v/>
      </c>
      <c r="O8" s="329" t="str">
        <f t="shared" si="2"/>
        <v/>
      </c>
      <c r="P8" s="201" t="str">
        <f>IFERROR(SMALL($O$3:$O$12,ROWS($O$3:O8)),"")</f>
        <v/>
      </c>
      <c r="S8" s="201" t="str">
        <f>IFERROR(INDEX($B$3:$L$12,$P4,COLUMNS($S$7:S8)),"")</f>
        <v/>
      </c>
      <c r="T8" s="201" t="str">
        <f>IFERROR(INDEX($B$3:$L$12,$P4,COLUMNS($S$7:T8)),"")</f>
        <v/>
      </c>
      <c r="U8" s="201" t="str">
        <f>IFERROR(INDEX($B$3:$L$12,$P4,COLUMNS($S$7:U8)),"")</f>
        <v/>
      </c>
      <c r="V8" s="201" t="str">
        <f>IFERROR(INDEX($B$3:$L$12,$P4,COLUMNS($S$7:V8)),"")</f>
        <v/>
      </c>
      <c r="W8" s="201" t="str">
        <f>IFERROR(INDEX($B$3:$L$12,$P4,COLUMNS($S$7:W8)),"")</f>
        <v/>
      </c>
      <c r="X8" s="201" t="str">
        <f>IFERROR(INDEX($B$3:$L$12,$P4,COLUMNS($S$7:X8)),"")</f>
        <v/>
      </c>
      <c r="Y8" s="201" t="str">
        <f>IFERROR(INDEX($B$3:$L$12,$P4,COLUMNS($S$7:Y8)),"")</f>
        <v/>
      </c>
      <c r="Z8" s="201" t="str">
        <f>IFERROR(INDEX($B$3:$L$12,$P4,COLUMNS($S$7:Z8)),"")</f>
        <v/>
      </c>
      <c r="AA8" s="201" t="str">
        <f>IFERROR(INDEX($B$3:$L$12,$P4,COLUMNS($S$7:AA8)),"")</f>
        <v/>
      </c>
      <c r="AB8" s="390" t="str">
        <f>IFERROR(INDEX($B$3:$L$12,$P4,COLUMNS($S$7:AB8)),"")</f>
        <v/>
      </c>
      <c r="AC8" s="390" t="str">
        <f>IFERROR(INDEX($B$3:$L$12,$P4,COLUMNS($S$7:AC8)),"")</f>
        <v/>
      </c>
      <c r="AD8" s="352" t="str">
        <f t="shared" ref="AD8:AD16" si="7">IF($R$3=$Y$3,IF(Y8=$AB$2,S8,""),IF(AA8=$AC$2,S8,""))</f>
        <v/>
      </c>
      <c r="AE8" s="353" t="str">
        <f>IFERROR(INDEX($B$3:$L$12,$P4,COLUMNS($S$7:AE8)),"")</f>
        <v/>
      </c>
      <c r="AF8" s="355" t="str">
        <f>IFERROR(INDEX($B$3:$L$12,$P4,COLUMNS($S$7:AF8)),"")</f>
        <v/>
      </c>
      <c r="AG8" s="6"/>
      <c r="AH8" s="6"/>
      <c r="AI8" s="6"/>
      <c r="AJ8" s="6"/>
    </row>
    <row r="9" spans="1:43">
      <c r="B9" s="201">
        <f t="shared" si="3"/>
        <v>7</v>
      </c>
      <c r="C9" s="347" t="s">
        <v>411</v>
      </c>
      <c r="D9" s="201"/>
      <c r="E9" s="201"/>
      <c r="F9" s="201" t="s">
        <v>533</v>
      </c>
      <c r="G9" s="335">
        <f t="shared" si="4"/>
        <v>19</v>
      </c>
      <c r="H9" s="334">
        <f>H8+0.5</f>
        <v>8</v>
      </c>
      <c r="I9" s="201">
        <v>1</v>
      </c>
      <c r="J9" s="335">
        <f>125000*2</f>
        <v>250000</v>
      </c>
      <c r="K9" s="305">
        <f t="shared" si="0"/>
        <v>214000</v>
      </c>
      <c r="L9" s="305">
        <f t="shared" si="1"/>
        <v>194400</v>
      </c>
      <c r="M9" s="329" t="str">
        <f t="shared" si="5"/>
        <v/>
      </c>
      <c r="N9" s="201" t="str">
        <f t="shared" si="6"/>
        <v/>
      </c>
      <c r="O9" s="329" t="str">
        <f t="shared" si="2"/>
        <v/>
      </c>
      <c r="P9" s="201" t="str">
        <f>IFERROR(SMALL($O$3:$O$12,ROWS($O$3:O9)),"")</f>
        <v/>
      </c>
      <c r="S9" s="201" t="str">
        <f>IFERROR(INDEX($B$3:$L$12,$P5,COLUMNS($S$7:S9)),"")</f>
        <v/>
      </c>
      <c r="T9" s="201" t="str">
        <f>IFERROR(INDEX($B$3:$L$12,$P5,COLUMNS($S$7:T9)),"")</f>
        <v/>
      </c>
      <c r="U9" s="201" t="str">
        <f>IFERROR(INDEX($B$3:$L$12,$P5,COLUMNS($S$7:U9)),"")</f>
        <v/>
      </c>
      <c r="V9" s="201" t="str">
        <f>IFERROR(INDEX($B$3:$L$12,$P5,COLUMNS($S$7:V9)),"")</f>
        <v/>
      </c>
      <c r="W9" s="201" t="str">
        <f>IFERROR(INDEX($B$3:$L$12,$P5,COLUMNS($S$7:W9)),"")</f>
        <v/>
      </c>
      <c r="X9" s="201" t="str">
        <f>IFERROR(INDEX($B$3:$L$12,$P5,COLUMNS($S$7:X9)),"")</f>
        <v/>
      </c>
      <c r="Y9" s="201" t="str">
        <f>IFERROR(INDEX($B$3:$L$12,$P5,COLUMNS($S$7:Y9)),"")</f>
        <v/>
      </c>
      <c r="Z9" s="201" t="str">
        <f>IFERROR(INDEX($B$3:$L$12,$P5,COLUMNS($S$7:Z9)),"")</f>
        <v/>
      </c>
      <c r="AA9" s="201" t="str">
        <f>IFERROR(INDEX($B$3:$L$12,$P5,COLUMNS($S$7:AA9)),"")</f>
        <v/>
      </c>
      <c r="AB9" s="390" t="str">
        <f>IFERROR(INDEX($B$3:$L$12,$P5,COLUMNS($S$7:AB9)),"")</f>
        <v/>
      </c>
      <c r="AC9" s="390" t="str">
        <f>IFERROR(INDEX($B$3:$L$12,$P5,COLUMNS($S$7:AC9)),"")</f>
        <v/>
      </c>
      <c r="AD9" s="352" t="str">
        <f t="shared" si="7"/>
        <v/>
      </c>
      <c r="AE9" s="353" t="str">
        <f>IFERROR(INDEX($B$3:$L$12,$P5,COLUMNS($S$7:AE9)),"")</f>
        <v/>
      </c>
      <c r="AF9" s="355" t="str">
        <f>IFERROR(INDEX($B$3:$L$12,$P5,COLUMNS($S$7:AF9)),"")</f>
        <v/>
      </c>
      <c r="AG9" s="6"/>
      <c r="AH9" s="6"/>
      <c r="AI9" s="6"/>
      <c r="AJ9" s="6"/>
    </row>
    <row r="10" spans="1:43">
      <c r="B10" s="201">
        <f t="shared" si="3"/>
        <v>8</v>
      </c>
      <c r="C10" s="347" t="s">
        <v>412</v>
      </c>
      <c r="D10" s="201"/>
      <c r="E10" s="201"/>
      <c r="F10" s="201" t="s">
        <v>534</v>
      </c>
      <c r="G10" s="335">
        <f t="shared" si="4"/>
        <v>18.5</v>
      </c>
      <c r="H10" s="334">
        <f>H9+0.5</f>
        <v>8.5</v>
      </c>
      <c r="I10" s="201">
        <v>2</v>
      </c>
      <c r="J10" s="335">
        <f>(70000/3)*4</f>
        <v>93333.333333333328</v>
      </c>
      <c r="K10" s="305">
        <f t="shared" si="0"/>
        <v>214000</v>
      </c>
      <c r="L10" s="305">
        <f t="shared" si="1"/>
        <v>194400</v>
      </c>
      <c r="M10" s="329" t="str">
        <f t="shared" si="5"/>
        <v/>
      </c>
      <c r="N10" s="201" t="str">
        <f t="shared" si="6"/>
        <v/>
      </c>
      <c r="O10" s="329" t="str">
        <f t="shared" si="2"/>
        <v/>
      </c>
      <c r="P10" s="201" t="str">
        <f>IFERROR(SMALL($O$3:$O$12,ROWS($O$3:O10)),"")</f>
        <v/>
      </c>
      <c r="S10" s="201" t="str">
        <f>IFERROR(INDEX($B$3:$L$12,$P6,COLUMNS($S$7:S10)),"")</f>
        <v/>
      </c>
      <c r="T10" s="201" t="str">
        <f>IFERROR(INDEX($B$3:$L$12,$P6,COLUMNS($S$7:T10)),"")</f>
        <v/>
      </c>
      <c r="U10" s="201" t="str">
        <f>IFERROR(INDEX($B$3:$L$12,$P6,COLUMNS($S$7:U10)),"")</f>
        <v/>
      </c>
      <c r="V10" s="201" t="str">
        <f>IFERROR(INDEX($B$3:$L$12,$P6,COLUMNS($S$7:V10)),"")</f>
        <v/>
      </c>
      <c r="W10" s="201" t="str">
        <f>IFERROR(INDEX($B$3:$L$12,$P6,COLUMNS($S$7:W10)),"")</f>
        <v/>
      </c>
      <c r="X10" s="201" t="str">
        <f>IFERROR(INDEX($B$3:$L$12,$P6,COLUMNS($S$7:X10)),"")</f>
        <v/>
      </c>
      <c r="Y10" s="201" t="str">
        <f>IFERROR(INDEX($B$3:$L$12,$P6,COLUMNS($S$7:Y10)),"")</f>
        <v/>
      </c>
      <c r="Z10" s="201" t="str">
        <f>IFERROR(INDEX($B$3:$L$12,$P6,COLUMNS($S$7:Z10)),"")</f>
        <v/>
      </c>
      <c r="AA10" s="201" t="str">
        <f>IFERROR(INDEX($B$3:$L$12,$P6,COLUMNS($S$7:AA10)),"")</f>
        <v/>
      </c>
      <c r="AB10" s="201" t="str">
        <f>IFERROR(INDEX($B$3:$L$12,$P6,COLUMNS($S$7:AB10)),"")</f>
        <v/>
      </c>
      <c r="AC10" s="201" t="str">
        <f>IFERROR(INDEX($B$3:$L$12,$P6,COLUMNS($S$7:AC10)),"")</f>
        <v/>
      </c>
      <c r="AD10" s="352" t="str">
        <f t="shared" si="7"/>
        <v/>
      </c>
      <c r="AE10" s="353" t="str">
        <f>IFERROR(INDEX($B$3:$L$12,$P6,COLUMNS($S$7:AE10)),"")</f>
        <v/>
      </c>
      <c r="AF10" s="355" t="str">
        <f>IFERROR(INDEX($B$3:$L$12,$P6,COLUMNS($S$7:AF10)),"")</f>
        <v/>
      </c>
      <c r="AG10" s="6"/>
      <c r="AH10" s="6"/>
      <c r="AI10" s="6"/>
      <c r="AJ10" s="6"/>
    </row>
    <row r="11" spans="1:43">
      <c r="B11" s="201">
        <f t="shared" si="3"/>
        <v>9</v>
      </c>
      <c r="C11" s="347" t="s">
        <v>413</v>
      </c>
      <c r="D11" s="201"/>
      <c r="E11" s="201"/>
      <c r="F11" s="201" t="s">
        <v>533</v>
      </c>
      <c r="G11" s="335">
        <f t="shared" si="4"/>
        <v>18</v>
      </c>
      <c r="H11" s="334">
        <f>H10+0.5</f>
        <v>9</v>
      </c>
      <c r="I11" s="201">
        <v>3</v>
      </c>
      <c r="J11" s="335">
        <f>125000*2</f>
        <v>250000</v>
      </c>
      <c r="K11" s="305">
        <f t="shared" si="0"/>
        <v>214000</v>
      </c>
      <c r="L11" s="305">
        <f t="shared" si="1"/>
        <v>194400</v>
      </c>
      <c r="M11" s="329">
        <f t="shared" si="5"/>
        <v>9</v>
      </c>
      <c r="N11" s="201" t="str">
        <f t="shared" si="6"/>
        <v/>
      </c>
      <c r="O11" s="329" t="str">
        <f t="shared" si="2"/>
        <v/>
      </c>
      <c r="P11" s="201" t="str">
        <f>IFERROR(SMALL($O$3:$O$12,ROWS($O$3:O11)),"")</f>
        <v/>
      </c>
      <c r="S11" s="201" t="str">
        <f>IFERROR(INDEX($B$3:$L$12,$P7,COLUMNS($S$7:S11)),"")</f>
        <v/>
      </c>
      <c r="T11" s="201" t="str">
        <f>IFERROR(INDEX($B$3:$L$12,$P7,COLUMNS($S$7:T11)),"")</f>
        <v/>
      </c>
      <c r="U11" s="201" t="str">
        <f>IFERROR(INDEX($B$3:$L$12,$P7,COLUMNS($S$7:U11)),"")</f>
        <v/>
      </c>
      <c r="V11" s="201" t="str">
        <f>IFERROR(INDEX($B$3:$L$12,$P7,COLUMNS($S$7:V11)),"")</f>
        <v/>
      </c>
      <c r="W11" s="201" t="str">
        <f>IFERROR(INDEX($B$3:$L$12,$P7,COLUMNS($S$7:W11)),"")</f>
        <v/>
      </c>
      <c r="X11" s="201" t="str">
        <f>IFERROR(INDEX($B$3:$L$12,$P7,COLUMNS($S$7:X11)),"")</f>
        <v/>
      </c>
      <c r="Y11" s="201" t="str">
        <f>IFERROR(INDEX($B$3:$L$12,$P7,COLUMNS($S$7:Y11)),"")</f>
        <v/>
      </c>
      <c r="Z11" s="201" t="str">
        <f>IFERROR(INDEX($B$3:$L$12,$P7,COLUMNS($S$7:Z11)),"")</f>
        <v/>
      </c>
      <c r="AA11" s="201" t="str">
        <f>IFERROR(INDEX($B$3:$L$12,$P7,COLUMNS($S$7:AA11)),"")</f>
        <v/>
      </c>
      <c r="AB11" s="201" t="str">
        <f>IFERROR(INDEX($B$3:$L$12,$P7,COLUMNS($S$7:AB11)),"")</f>
        <v/>
      </c>
      <c r="AC11" s="201" t="str">
        <f>IFERROR(INDEX($B$3:$L$12,$P7,COLUMNS($S$7:AC11)),"")</f>
        <v/>
      </c>
      <c r="AD11" s="352" t="str">
        <f t="shared" si="7"/>
        <v/>
      </c>
      <c r="AE11" s="353" t="str">
        <f>IFERROR(INDEX($B$3:$L$12,$P7,COLUMNS($S$7:AE11)),"")</f>
        <v/>
      </c>
      <c r="AF11" s="355" t="str">
        <f>IFERROR(INDEX($B$3:$L$12,$P7,COLUMNS($S$7:AF11)),"")</f>
        <v/>
      </c>
      <c r="AG11" s="6"/>
      <c r="AH11" s="6"/>
      <c r="AI11" s="6"/>
      <c r="AJ11" s="6"/>
    </row>
    <row r="12" spans="1:43">
      <c r="B12" s="201">
        <f t="shared" si="3"/>
        <v>10</v>
      </c>
      <c r="C12" s="347" t="s">
        <v>414</v>
      </c>
      <c r="D12" s="201"/>
      <c r="E12" s="201"/>
      <c r="F12" s="201" t="s">
        <v>534</v>
      </c>
      <c r="G12" s="335">
        <f t="shared" si="4"/>
        <v>17.5</v>
      </c>
      <c r="H12" s="334">
        <v>9</v>
      </c>
      <c r="I12" s="201">
        <v>2</v>
      </c>
      <c r="J12" s="335">
        <v>300000</v>
      </c>
      <c r="K12" s="305">
        <f t="shared" si="0"/>
        <v>214000</v>
      </c>
      <c r="L12" s="305">
        <f t="shared" si="1"/>
        <v>194400</v>
      </c>
      <c r="M12" s="329">
        <f t="shared" si="5"/>
        <v>10</v>
      </c>
      <c r="N12" s="201" t="str">
        <f t="shared" si="6"/>
        <v/>
      </c>
      <c r="O12" s="329" t="str">
        <f t="shared" si="2"/>
        <v/>
      </c>
      <c r="P12" s="201" t="str">
        <f>IFERROR(SMALL($O$3:$O$12,ROWS($O$3:O12)),"")</f>
        <v/>
      </c>
      <c r="S12" s="201" t="str">
        <f>IFERROR(INDEX($B$3:$L$12,$P8,COLUMNS($S$7:S12)),"")</f>
        <v/>
      </c>
      <c r="T12" s="201" t="str">
        <f>IFERROR(INDEX($B$3:$L$12,$P8,COLUMNS($S$7:T12)),"")</f>
        <v/>
      </c>
      <c r="U12" s="201" t="str">
        <f>IFERROR(INDEX($B$3:$L$12,$P8,COLUMNS($S$7:U12)),"")</f>
        <v/>
      </c>
      <c r="V12" s="201" t="str">
        <f>IFERROR(INDEX($B$3:$L$12,$P8,COLUMNS($S$7:V12)),"")</f>
        <v/>
      </c>
      <c r="W12" s="201" t="str">
        <f>IFERROR(INDEX($B$3:$L$12,$P8,COLUMNS($S$7:W12)),"")</f>
        <v/>
      </c>
      <c r="X12" s="201" t="str">
        <f>IFERROR(INDEX($B$3:$L$12,$P8,COLUMNS($S$7:X12)),"")</f>
        <v/>
      </c>
      <c r="Y12" s="201" t="str">
        <f>IFERROR(INDEX($B$3:$L$12,$P8,COLUMNS($S$7:Y12)),"")</f>
        <v/>
      </c>
      <c r="Z12" s="201" t="str">
        <f>IFERROR(INDEX($B$3:$L$12,$P8,COLUMNS($S$7:Z12)),"")</f>
        <v/>
      </c>
      <c r="AA12" s="201" t="str">
        <f>IFERROR(INDEX($B$3:$L$12,$P8,COLUMNS($S$7:AA12)),"")</f>
        <v/>
      </c>
      <c r="AB12" s="201" t="str">
        <f>IFERROR(INDEX($B$3:$L$12,$P8,COLUMNS($S$7:AB12)),"")</f>
        <v/>
      </c>
      <c r="AC12" s="201" t="str">
        <f>IFERROR(INDEX($B$3:$L$12,$P8,COLUMNS($S$7:AC12)),"")</f>
        <v/>
      </c>
      <c r="AD12" s="352" t="str">
        <f t="shared" si="7"/>
        <v/>
      </c>
      <c r="AE12" s="353" t="str">
        <f>IFERROR(INDEX($B$3:$L$12,$P8,COLUMNS($S$7:AE12)),"")</f>
        <v/>
      </c>
      <c r="AF12" s="355" t="str">
        <f>IFERROR(INDEX($B$3:$L$12,$P8,COLUMNS($S$7:AF12)),"")</f>
        <v/>
      </c>
      <c r="AG12" s="6"/>
      <c r="AH12" s="6"/>
      <c r="AI12" s="6"/>
      <c r="AJ12" s="6"/>
    </row>
    <row r="13" spans="1:43">
      <c r="B13" s="201">
        <f t="shared" si="3"/>
        <v>11</v>
      </c>
      <c r="C13" s="346" t="s">
        <v>415</v>
      </c>
      <c r="D13" s="201"/>
      <c r="E13" s="201"/>
      <c r="F13" s="201"/>
      <c r="G13" s="201"/>
      <c r="H13" s="201"/>
      <c r="I13" s="201"/>
      <c r="J13" s="201"/>
      <c r="K13" s="201"/>
      <c r="L13" s="201"/>
      <c r="N13" s="201" t="str">
        <f>IF($S$3=I13,B13,"")</f>
        <v/>
      </c>
      <c r="S13" s="201" t="str">
        <f>IFERROR(INDEX($B$3:$L$12,$P9,COLUMNS($S$7:S13)),"")</f>
        <v/>
      </c>
      <c r="T13" s="201" t="str">
        <f>IFERROR(INDEX($B$3:$L$12,$P9,COLUMNS($S$7:T13)),"")</f>
        <v/>
      </c>
      <c r="U13" s="201" t="str">
        <f>IFERROR(INDEX($B$3:$L$12,$P9,COLUMNS($S$7:U13)),"")</f>
        <v/>
      </c>
      <c r="V13" s="201" t="str">
        <f>IFERROR(INDEX($B$3:$L$12,$P9,COLUMNS($S$7:V13)),"")</f>
        <v/>
      </c>
      <c r="W13" s="201" t="str">
        <f>IFERROR(INDEX($B$3:$L$12,$P9,COLUMNS($S$7:W13)),"")</f>
        <v/>
      </c>
      <c r="X13" s="201" t="str">
        <f>IFERROR(INDEX($B$3:$L$12,$P9,COLUMNS($S$7:X13)),"")</f>
        <v/>
      </c>
      <c r="Y13" s="201" t="str">
        <f>IFERROR(INDEX($B$3:$L$12,$P9,COLUMNS($S$7:Y13)),"")</f>
        <v/>
      </c>
      <c r="Z13" s="201" t="str">
        <f>IFERROR(INDEX($B$3:$L$12,$P9,COLUMNS($S$7:Z13)),"")</f>
        <v/>
      </c>
      <c r="AA13" s="201" t="str">
        <f>IFERROR(INDEX($B$3:$L$12,$P9,COLUMNS($S$7:AA13)),"")</f>
        <v/>
      </c>
      <c r="AB13" s="201" t="str">
        <f>IFERROR(INDEX($B$3:$L$12,$P9,COLUMNS($S$7:AB13)),"")</f>
        <v/>
      </c>
      <c r="AC13" s="201" t="str">
        <f>IFERROR(INDEX($B$3:$L$12,$P9,COLUMNS($S$7:AC13)),"")</f>
        <v/>
      </c>
      <c r="AD13" s="352" t="str">
        <f t="shared" si="7"/>
        <v/>
      </c>
      <c r="AE13" s="353" t="str">
        <f>IFERROR(INDEX($B$3:$L$12,$P9,COLUMNS($S$7:AE13)),"")</f>
        <v/>
      </c>
      <c r="AF13" s="355" t="str">
        <f>IFERROR(INDEX($B$3:$L$12,$P9,COLUMNS($S$7:AF13)),"")</f>
        <v/>
      </c>
      <c r="AG13" s="6"/>
      <c r="AH13" s="6"/>
      <c r="AI13" s="6"/>
      <c r="AJ13" s="6"/>
    </row>
    <row r="14" spans="1:43">
      <c r="B14" s="201">
        <f t="shared" si="3"/>
        <v>12</v>
      </c>
      <c r="C14" s="346" t="s">
        <v>416</v>
      </c>
      <c r="D14" s="201"/>
      <c r="E14" s="201"/>
      <c r="F14" s="201"/>
      <c r="G14" s="201"/>
      <c r="H14" s="201"/>
      <c r="I14" s="201"/>
      <c r="J14" s="201"/>
      <c r="K14" s="201"/>
      <c r="L14" s="201"/>
      <c r="S14" s="201" t="str">
        <f>IFERROR(INDEX($B$3:$L$12,$P10,COLUMNS($S$7:S14)),"")</f>
        <v/>
      </c>
      <c r="T14" s="201" t="str">
        <f>IFERROR(INDEX($B$3:$L$12,$P10,COLUMNS($S$7:T14)),"")</f>
        <v/>
      </c>
      <c r="U14" s="201" t="str">
        <f>IFERROR(INDEX($B$3:$L$12,$P10,COLUMNS($S$7:U14)),"")</f>
        <v/>
      </c>
      <c r="V14" s="201" t="str">
        <f>IFERROR(INDEX($B$3:$L$12,$P10,COLUMNS($S$7:V14)),"")</f>
        <v/>
      </c>
      <c r="W14" s="201" t="str">
        <f>IFERROR(INDEX($B$3:$L$12,$P10,COLUMNS($S$7:W14)),"")</f>
        <v/>
      </c>
      <c r="X14" s="201" t="str">
        <f>IFERROR(INDEX($B$3:$L$12,$P10,COLUMNS($S$7:X14)),"")</f>
        <v/>
      </c>
      <c r="Y14" s="201" t="str">
        <f>IFERROR(INDEX($B$3:$L$12,$P10,COLUMNS($S$7:Y14)),"")</f>
        <v/>
      </c>
      <c r="Z14" s="201" t="str">
        <f>IFERROR(INDEX($B$3:$L$12,$P10,COLUMNS($S$7:Z14)),"")</f>
        <v/>
      </c>
      <c r="AA14" s="201" t="str">
        <f>IFERROR(INDEX($B$3:$L$12,$P10,COLUMNS($S$7:AA14)),"")</f>
        <v/>
      </c>
      <c r="AB14" s="201" t="str">
        <f>IFERROR(INDEX($B$3:$L$12,$P10,COLUMNS($S$7:AB14)),"")</f>
        <v/>
      </c>
      <c r="AC14" s="201" t="str">
        <f>IFERROR(INDEX($B$3:$L$12,$P10,COLUMNS($S$7:AC14)),"")</f>
        <v/>
      </c>
      <c r="AD14" s="352" t="str">
        <f t="shared" si="7"/>
        <v/>
      </c>
      <c r="AE14" s="353" t="str">
        <f>IFERROR(INDEX($B$3:$L$12,$P10,COLUMNS($S$7:AE14)),"")</f>
        <v/>
      </c>
      <c r="AF14" s="355" t="str">
        <f>IFERROR(INDEX($B$3:$L$12,$P10,COLUMNS($S$7:AF14)),"")</f>
        <v/>
      </c>
      <c r="AG14" s="6"/>
      <c r="AH14" s="6"/>
      <c r="AI14" s="6"/>
      <c r="AJ14" s="6"/>
    </row>
    <row r="15" spans="1:43">
      <c r="B15" s="201">
        <f t="shared" si="3"/>
        <v>13</v>
      </c>
      <c r="C15" s="346" t="s">
        <v>417</v>
      </c>
      <c r="D15" s="201"/>
      <c r="E15" s="201"/>
      <c r="F15" s="201"/>
      <c r="G15" s="201"/>
      <c r="H15" s="201"/>
      <c r="I15" s="201"/>
      <c r="J15" s="201"/>
      <c r="K15" s="201"/>
      <c r="L15" s="201"/>
      <c r="S15" s="201" t="str">
        <f>IFERROR(INDEX($B$3:$L$12,$P11,COLUMNS($S$7:S15)),"")</f>
        <v/>
      </c>
      <c r="T15" s="201" t="str">
        <f>IFERROR(INDEX($B$3:$L$12,$P11,COLUMNS($S$7:T15)),"")</f>
        <v/>
      </c>
      <c r="U15" s="201" t="str">
        <f>IFERROR(INDEX($B$3:$L$12,$P11,COLUMNS($S$7:U15)),"")</f>
        <v/>
      </c>
      <c r="V15" s="201" t="str">
        <f>IFERROR(INDEX($B$3:$L$12,$P11,COLUMNS($S$7:V15)),"")</f>
        <v/>
      </c>
      <c r="W15" s="201" t="str">
        <f>IFERROR(INDEX($B$3:$L$12,$P11,COLUMNS($S$7:W15)),"")</f>
        <v/>
      </c>
      <c r="X15" s="201" t="str">
        <f>IFERROR(INDEX($B$3:$L$12,$P11,COLUMNS($S$7:X15)),"")</f>
        <v/>
      </c>
      <c r="Y15" s="201" t="str">
        <f>IFERROR(INDEX($B$3:$L$12,$P11,COLUMNS($S$7:Y15)),"")</f>
        <v/>
      </c>
      <c r="Z15" s="201" t="str">
        <f>IFERROR(INDEX($B$3:$L$12,$P11,COLUMNS($S$7:Z15)),"")</f>
        <v/>
      </c>
      <c r="AA15" s="201" t="str">
        <f>IFERROR(INDEX($B$3:$L$12,$P11,COLUMNS($S$7:AA15)),"")</f>
        <v/>
      </c>
      <c r="AB15" s="201" t="str">
        <f>IFERROR(INDEX($B$3:$L$12,$P11,COLUMNS($S$7:AB15)),"")</f>
        <v/>
      </c>
      <c r="AC15" s="201" t="str">
        <f>IFERROR(INDEX($B$3:$L$12,$P11,COLUMNS($S$7:AC15)),"")</f>
        <v/>
      </c>
      <c r="AD15" s="352" t="str">
        <f t="shared" si="7"/>
        <v/>
      </c>
      <c r="AE15" s="353" t="str">
        <f>IFERROR(INDEX($B$3:$L$12,$P11,COLUMNS($S$7:AE15)),"")</f>
        <v/>
      </c>
      <c r="AF15" s="355" t="str">
        <f>IFERROR(INDEX($B$3:$L$12,$P11,COLUMNS($S$7:AF15)),"")</f>
        <v/>
      </c>
      <c r="AG15" s="6"/>
      <c r="AH15" s="6"/>
      <c r="AI15" s="6"/>
      <c r="AJ15" s="6"/>
    </row>
    <row r="16" spans="1:43">
      <c r="B16" s="201">
        <f t="shared" si="3"/>
        <v>14</v>
      </c>
      <c r="C16" s="346" t="s">
        <v>418</v>
      </c>
      <c r="D16" s="201"/>
      <c r="E16" s="201"/>
      <c r="F16" s="201"/>
      <c r="G16" s="201"/>
      <c r="H16" s="201"/>
      <c r="I16" s="201"/>
      <c r="J16" s="201"/>
      <c r="K16" s="201"/>
      <c r="L16" s="201"/>
      <c r="S16" s="201" t="str">
        <f>IFERROR(INDEX($B$3:$L$12,$P12,COLUMNS($S$7:S16)),"")</f>
        <v/>
      </c>
      <c r="T16" s="201" t="str">
        <f>IFERROR(INDEX($B$3:$L$12,$P12,COLUMNS($S$7:T16)),"")</f>
        <v/>
      </c>
      <c r="U16" s="201" t="str">
        <f>IFERROR(INDEX($B$3:$L$12,$P12,COLUMNS($S$7:U16)),"")</f>
        <v/>
      </c>
      <c r="V16" s="201" t="str">
        <f>IFERROR(INDEX($B$3:$L$12,$P12,COLUMNS($S$7:V16)),"")</f>
        <v/>
      </c>
      <c r="W16" s="201" t="str">
        <f>IFERROR(INDEX($B$3:$L$12,$P12,COLUMNS($S$7:W16)),"")</f>
        <v/>
      </c>
      <c r="X16" s="201" t="str">
        <f>IFERROR(INDEX($B$3:$L$12,$P12,COLUMNS($S$7:X16)),"")</f>
        <v/>
      </c>
      <c r="Y16" s="201" t="str">
        <f>IFERROR(INDEX($B$3:$L$12,$P12,COLUMNS($S$7:Y16)),"")</f>
        <v/>
      </c>
      <c r="Z16" s="201" t="str">
        <f>IFERROR(INDEX($B$3:$L$12,$P12,COLUMNS($S$7:Z16)),"")</f>
        <v/>
      </c>
      <c r="AA16" s="201" t="str">
        <f>IFERROR(INDEX($B$3:$L$12,$P12,COLUMNS($S$7:AA16)),"")</f>
        <v/>
      </c>
      <c r="AB16" s="201" t="str">
        <f>IFERROR(INDEX($B$3:$L$12,$P12,COLUMNS($S$7:AB16)),"")</f>
        <v/>
      </c>
      <c r="AC16" s="201" t="str">
        <f>IFERROR(INDEX($B$3:$L$12,$P12,COLUMNS($S$7:AC16)),"")</f>
        <v/>
      </c>
      <c r="AD16" s="352" t="str">
        <f t="shared" si="7"/>
        <v/>
      </c>
      <c r="AE16" s="354" t="str">
        <f>IFERROR(INDEX($B$3:$L$12,$P12,COLUMNS($S$7:AE16)),"")</f>
        <v/>
      </c>
      <c r="AF16" s="355" t="str">
        <f>IFERROR(INDEX($B$3:$L$12,$P12,COLUMNS($S$7:AF16)),"")</f>
        <v/>
      </c>
      <c r="AG16" s="6"/>
      <c r="AH16" s="6"/>
      <c r="AI16" s="6"/>
      <c r="AJ16" s="6"/>
    </row>
    <row r="17" spans="2:54">
      <c r="B17" s="201">
        <f t="shared" si="3"/>
        <v>15</v>
      </c>
      <c r="C17" s="346" t="s">
        <v>419</v>
      </c>
      <c r="D17" s="201"/>
      <c r="E17" s="201"/>
      <c r="F17" s="201"/>
      <c r="G17" s="201"/>
      <c r="H17" s="201"/>
      <c r="I17" s="201"/>
      <c r="J17" s="201"/>
      <c r="K17" s="201"/>
      <c r="L17" s="201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6"/>
      <c r="AG17" s="6"/>
      <c r="AH17" s="6"/>
    </row>
    <row r="18" spans="2:54" ht="15" customHeight="1">
      <c r="B18" s="201">
        <f t="shared" si="3"/>
        <v>16</v>
      </c>
      <c r="C18" s="346" t="s">
        <v>420</v>
      </c>
      <c r="D18" s="201"/>
      <c r="E18" s="201"/>
      <c r="F18" s="201"/>
      <c r="G18" s="201"/>
      <c r="H18" s="201"/>
      <c r="I18" s="201"/>
      <c r="J18" s="201"/>
      <c r="K18" s="201"/>
      <c r="L18" s="201"/>
    </row>
    <row r="19" spans="2:54">
      <c r="B19" s="201">
        <f t="shared" si="3"/>
        <v>17</v>
      </c>
      <c r="C19" s="346" t="s">
        <v>421</v>
      </c>
      <c r="D19" s="201"/>
      <c r="E19" s="201"/>
      <c r="F19" s="201"/>
      <c r="G19" s="201"/>
      <c r="H19" s="201"/>
      <c r="I19" s="201"/>
      <c r="J19" s="201"/>
      <c r="K19" s="201"/>
      <c r="L19" s="201"/>
    </row>
    <row r="20" spans="2:54">
      <c r="B20" s="201">
        <f t="shared" si="3"/>
        <v>18</v>
      </c>
      <c r="C20" s="346" t="s">
        <v>422</v>
      </c>
      <c r="D20" s="201"/>
      <c r="E20" s="201"/>
      <c r="F20" s="201"/>
      <c r="G20" s="201"/>
      <c r="H20" s="201"/>
      <c r="I20" s="201"/>
      <c r="J20" s="201"/>
      <c r="K20" s="201"/>
      <c r="L20" s="20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2:54">
      <c r="B21" s="201">
        <f t="shared" si="3"/>
        <v>19</v>
      </c>
      <c r="C21" s="346" t="s">
        <v>423</v>
      </c>
      <c r="D21" s="201"/>
      <c r="E21" s="201"/>
      <c r="F21" s="201"/>
      <c r="G21" s="201"/>
      <c r="H21" s="201"/>
      <c r="I21" s="201"/>
      <c r="J21" s="201"/>
      <c r="K21" s="201"/>
      <c r="L21" s="201"/>
      <c r="R21" s="358"/>
      <c r="S21" s="359"/>
      <c r="T21" s="358"/>
      <c r="U21" s="358"/>
      <c r="V21" s="360"/>
      <c r="W21" s="358"/>
      <c r="X21" s="358"/>
      <c r="Y21" s="358"/>
      <c r="Z21" s="358"/>
      <c r="AA21" s="358"/>
      <c r="AB21" s="358"/>
      <c r="AC21" s="358"/>
      <c r="AD21" s="358"/>
      <c r="AE21" s="358"/>
      <c r="AF21" s="358"/>
      <c r="AG21" s="360"/>
      <c r="AH21" s="360"/>
      <c r="AI21" s="359"/>
      <c r="AJ21" s="359"/>
      <c r="AK21" s="4"/>
      <c r="AL21" s="359"/>
      <c r="AM21" s="358"/>
      <c r="AN21" s="358"/>
      <c r="AO21" s="360"/>
      <c r="AP21" s="358"/>
      <c r="AQ21" s="358"/>
      <c r="AR21" s="358"/>
      <c r="AS21" s="358"/>
      <c r="AT21" s="358"/>
      <c r="AU21" s="358"/>
      <c r="AV21" s="358"/>
      <c r="AW21" s="358"/>
      <c r="AX21" s="358"/>
      <c r="AY21" s="358"/>
      <c r="AZ21" s="360"/>
      <c r="BA21" s="360"/>
      <c r="BB21" s="4"/>
    </row>
    <row r="22" spans="2:54">
      <c r="B22" s="201">
        <f t="shared" si="3"/>
        <v>20</v>
      </c>
      <c r="C22" s="346" t="s">
        <v>424</v>
      </c>
      <c r="D22" s="201"/>
      <c r="E22" s="201"/>
      <c r="F22" s="201"/>
      <c r="G22" s="201"/>
      <c r="H22" s="201"/>
      <c r="I22" s="201"/>
      <c r="J22" s="201"/>
      <c r="K22" s="201"/>
      <c r="L22" s="201"/>
      <c r="R22" s="4"/>
      <c r="S22" s="359"/>
      <c r="T22" s="358"/>
      <c r="U22" s="358"/>
      <c r="V22" s="358"/>
      <c r="W22" s="361"/>
      <c r="X22" s="361"/>
      <c r="Y22" s="361"/>
      <c r="Z22" s="361"/>
      <c r="AA22" s="361"/>
      <c r="AB22" s="361"/>
      <c r="AC22" s="361"/>
      <c r="AD22" s="361"/>
      <c r="AE22" s="361"/>
      <c r="AF22" s="361"/>
      <c r="AG22" s="358"/>
      <c r="AH22" s="358"/>
      <c r="AI22" s="359"/>
      <c r="AJ22" s="359"/>
      <c r="AK22" s="4"/>
      <c r="AL22" s="359"/>
      <c r="AM22" s="358"/>
      <c r="AN22" s="358"/>
      <c r="AO22" s="358"/>
      <c r="AP22" s="361"/>
      <c r="AQ22" s="361"/>
      <c r="AR22" s="361"/>
      <c r="AS22" s="361"/>
      <c r="AT22" s="361"/>
      <c r="AU22" s="361"/>
      <c r="AV22" s="361"/>
      <c r="AW22" s="361"/>
      <c r="AX22" s="361"/>
      <c r="AY22" s="361"/>
      <c r="AZ22" s="358"/>
      <c r="BA22" s="358"/>
      <c r="BB22" s="4"/>
    </row>
    <row r="23" spans="2:54">
      <c r="B23" s="201">
        <f t="shared" si="3"/>
        <v>21</v>
      </c>
      <c r="C23" s="346" t="s">
        <v>425</v>
      </c>
      <c r="D23" s="201"/>
      <c r="E23" s="201"/>
      <c r="F23" s="201"/>
      <c r="G23" s="201"/>
      <c r="H23" s="201"/>
      <c r="I23" s="201"/>
      <c r="J23" s="201"/>
      <c r="K23" s="201"/>
      <c r="L23" s="201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2:54">
      <c r="B24" s="201">
        <f t="shared" si="3"/>
        <v>22</v>
      </c>
      <c r="C24" s="346" t="s">
        <v>426</v>
      </c>
      <c r="D24" s="201"/>
      <c r="E24" s="201"/>
      <c r="F24" s="201"/>
      <c r="G24" s="201"/>
      <c r="H24" s="201"/>
      <c r="I24" s="201"/>
      <c r="J24" s="201"/>
      <c r="K24" s="201"/>
      <c r="L24" s="201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2:54">
      <c r="B25" s="201">
        <f t="shared" si="3"/>
        <v>23</v>
      </c>
      <c r="C25" s="346" t="s">
        <v>427</v>
      </c>
      <c r="D25" s="201"/>
      <c r="E25" s="201"/>
      <c r="F25" s="201"/>
      <c r="G25" s="201"/>
      <c r="H25" s="201"/>
      <c r="I25" s="201"/>
      <c r="J25" s="201"/>
      <c r="K25" s="201"/>
      <c r="L25" s="201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2:54">
      <c r="B26" s="201">
        <f t="shared" si="3"/>
        <v>24</v>
      </c>
      <c r="C26" s="346" t="s">
        <v>428</v>
      </c>
      <c r="D26" s="201"/>
      <c r="E26" s="201"/>
      <c r="F26" s="201"/>
      <c r="G26" s="201"/>
      <c r="H26" s="201"/>
      <c r="I26" s="201"/>
      <c r="J26" s="201"/>
      <c r="K26" s="201"/>
      <c r="L26" s="201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2:54">
      <c r="B27" s="201">
        <f t="shared" si="3"/>
        <v>25</v>
      </c>
      <c r="C27" s="346" t="s">
        <v>429</v>
      </c>
      <c r="D27" s="201"/>
      <c r="E27" s="201"/>
      <c r="F27" s="201"/>
      <c r="G27" s="201"/>
      <c r="H27" s="201"/>
      <c r="I27" s="201"/>
      <c r="J27" s="201"/>
      <c r="K27" s="201"/>
      <c r="L27" s="201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2:54">
      <c r="B28" s="201">
        <f t="shared" si="3"/>
        <v>26</v>
      </c>
      <c r="C28" s="346" t="s">
        <v>430</v>
      </c>
      <c r="D28" s="201"/>
      <c r="E28" s="201"/>
      <c r="F28" s="201"/>
      <c r="G28" s="201"/>
      <c r="H28" s="201"/>
      <c r="I28" s="201"/>
      <c r="J28" s="201"/>
      <c r="K28" s="201"/>
      <c r="L28" s="201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2:54">
      <c r="B29" s="201">
        <f t="shared" si="3"/>
        <v>27</v>
      </c>
      <c r="C29" s="346" t="s">
        <v>431</v>
      </c>
      <c r="D29" s="201"/>
      <c r="E29" s="201"/>
      <c r="F29" s="201"/>
      <c r="G29" s="201"/>
      <c r="H29" s="201"/>
      <c r="I29" s="201"/>
      <c r="J29" s="201"/>
      <c r="K29" s="201"/>
      <c r="L29" s="201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2:54">
      <c r="B30" s="201">
        <f t="shared" si="3"/>
        <v>28</v>
      </c>
      <c r="C30" s="346" t="s">
        <v>432</v>
      </c>
      <c r="D30" s="201"/>
      <c r="E30" s="201"/>
      <c r="F30" s="201"/>
      <c r="G30" s="201"/>
      <c r="H30" s="201"/>
      <c r="I30" s="201"/>
      <c r="J30" s="201"/>
      <c r="K30" s="201"/>
      <c r="L30" s="201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2:54">
      <c r="B31" s="201">
        <f t="shared" si="3"/>
        <v>29</v>
      </c>
      <c r="C31" s="346" t="s">
        <v>433</v>
      </c>
      <c r="D31" s="201"/>
      <c r="E31" s="201"/>
      <c r="F31" s="201"/>
      <c r="G31" s="201"/>
      <c r="H31" s="201"/>
      <c r="I31" s="201"/>
      <c r="J31" s="201"/>
      <c r="K31" s="201"/>
      <c r="L31" s="201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2:54" ht="30">
      <c r="B32" s="201">
        <f t="shared" si="3"/>
        <v>30</v>
      </c>
      <c r="C32" s="229" t="s">
        <v>434</v>
      </c>
      <c r="D32" s="201"/>
      <c r="E32" s="201"/>
      <c r="F32" s="201"/>
      <c r="G32" s="201"/>
      <c r="H32" s="201"/>
      <c r="I32" s="201"/>
      <c r="J32" s="201"/>
      <c r="K32" s="201"/>
      <c r="L32" s="201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2:36" ht="45">
      <c r="B33" s="201">
        <f t="shared" si="3"/>
        <v>31</v>
      </c>
      <c r="C33" s="229" t="s">
        <v>435</v>
      </c>
      <c r="D33" s="201"/>
      <c r="E33" s="201"/>
      <c r="F33" s="201"/>
      <c r="G33" s="201"/>
      <c r="H33" s="201"/>
      <c r="I33" s="201"/>
      <c r="J33" s="201"/>
      <c r="K33" s="201"/>
      <c r="L33" s="201"/>
      <c r="R33" s="4"/>
      <c r="S33" s="4"/>
      <c r="T33" s="4"/>
      <c r="U33" s="4"/>
      <c r="V33" s="4"/>
      <c r="W33" s="4"/>
      <c r="X33" s="4"/>
      <c r="Y33" s="4"/>
      <c r="Z33" s="4"/>
      <c r="AA33" s="4"/>
      <c r="AB33" s="333"/>
      <c r="AC33" s="333"/>
      <c r="AD33" s="333"/>
      <c r="AE33" s="333"/>
      <c r="AF33" s="333"/>
      <c r="AG33" s="4"/>
      <c r="AH33" s="4"/>
      <c r="AI33" s="4"/>
      <c r="AJ33" s="4"/>
    </row>
    <row r="34" spans="2:36">
      <c r="B34" s="201">
        <f t="shared" si="3"/>
        <v>32</v>
      </c>
      <c r="C34" s="346" t="s">
        <v>436</v>
      </c>
      <c r="D34" s="201"/>
      <c r="E34" s="201"/>
      <c r="F34" s="201"/>
      <c r="G34" s="201"/>
      <c r="H34" s="201"/>
      <c r="I34" s="201"/>
      <c r="J34" s="201"/>
      <c r="K34" s="201"/>
      <c r="L34" s="201"/>
      <c r="R34" s="4"/>
      <c r="S34" s="4"/>
      <c r="T34" s="4"/>
      <c r="U34" s="4"/>
      <c r="V34" s="4"/>
      <c r="W34" s="4"/>
      <c r="X34" s="4"/>
      <c r="Y34" s="4"/>
      <c r="Z34" s="4"/>
      <c r="AA34" s="4"/>
      <c r="AB34" s="333"/>
      <c r="AC34" s="333"/>
      <c r="AD34" s="333"/>
      <c r="AE34" s="333"/>
      <c r="AF34" s="333"/>
      <c r="AG34" s="4"/>
      <c r="AH34" s="4"/>
      <c r="AI34" s="4"/>
      <c r="AJ34" s="4"/>
    </row>
    <row r="35" spans="2:36">
      <c r="B35" s="201">
        <f t="shared" si="3"/>
        <v>33</v>
      </c>
      <c r="C35" s="346" t="s">
        <v>437</v>
      </c>
      <c r="D35" s="201"/>
      <c r="E35" s="201"/>
      <c r="F35" s="201"/>
      <c r="G35" s="201"/>
      <c r="H35" s="201"/>
      <c r="I35" s="201"/>
      <c r="J35" s="201"/>
      <c r="K35" s="201"/>
      <c r="L35" s="201"/>
      <c r="R35" s="4"/>
      <c r="S35" s="4"/>
      <c r="T35" s="4"/>
      <c r="U35" s="4"/>
      <c r="V35" s="4"/>
      <c r="W35" s="4"/>
      <c r="X35" s="4"/>
      <c r="Y35" s="4"/>
      <c r="Z35" s="4"/>
      <c r="AA35" s="4"/>
      <c r="AB35" s="333"/>
      <c r="AC35" s="333"/>
      <c r="AD35" s="333"/>
      <c r="AE35" s="333"/>
      <c r="AF35" s="333"/>
      <c r="AG35" s="4"/>
      <c r="AH35" s="4"/>
      <c r="AI35" s="4"/>
      <c r="AJ35" s="4"/>
    </row>
    <row r="36" spans="2:36">
      <c r="B36" s="201">
        <f t="shared" si="3"/>
        <v>34</v>
      </c>
      <c r="C36" s="346" t="s">
        <v>438</v>
      </c>
      <c r="D36" s="201"/>
      <c r="E36" s="201"/>
      <c r="F36" s="201"/>
      <c r="G36" s="201"/>
      <c r="H36" s="201"/>
      <c r="I36" s="201"/>
      <c r="J36" s="201"/>
      <c r="K36" s="201"/>
      <c r="L36" s="201"/>
      <c r="R36" s="4"/>
      <c r="S36" s="4"/>
      <c r="T36" s="4"/>
      <c r="U36" s="4"/>
      <c r="V36" s="4"/>
      <c r="W36" s="4"/>
      <c r="X36" s="4"/>
      <c r="Y36" s="4"/>
      <c r="Z36" s="4"/>
      <c r="AA36" s="4"/>
      <c r="AB36" s="333"/>
      <c r="AC36" s="333"/>
      <c r="AD36" s="333"/>
      <c r="AE36" s="333"/>
      <c r="AF36" s="333"/>
      <c r="AG36" s="4"/>
      <c r="AH36" s="4"/>
      <c r="AI36" s="4"/>
      <c r="AJ36" s="4"/>
    </row>
    <row r="37" spans="2:36">
      <c r="B37" s="201">
        <f t="shared" si="3"/>
        <v>35</v>
      </c>
      <c r="C37" s="346" t="s">
        <v>439</v>
      </c>
      <c r="D37" s="201"/>
      <c r="E37" s="201"/>
      <c r="F37" s="201"/>
      <c r="G37" s="201"/>
      <c r="H37" s="201"/>
      <c r="I37" s="201"/>
      <c r="J37" s="201"/>
      <c r="K37" s="201"/>
      <c r="L37" s="201"/>
      <c r="R37" s="4"/>
      <c r="S37" s="4"/>
      <c r="T37" s="4"/>
      <c r="U37" s="4"/>
      <c r="V37" s="4"/>
      <c r="W37" s="4"/>
      <c r="X37" s="4"/>
      <c r="Y37" s="4"/>
      <c r="Z37" s="4"/>
      <c r="AA37" s="4"/>
      <c r="AB37" s="333"/>
      <c r="AC37" s="333"/>
      <c r="AD37" s="333"/>
      <c r="AE37" s="333"/>
      <c r="AF37" s="333"/>
      <c r="AG37" s="4"/>
      <c r="AH37" s="4"/>
      <c r="AI37" s="4"/>
      <c r="AJ37" s="4"/>
    </row>
    <row r="38" spans="2:36">
      <c r="B38" s="201">
        <f t="shared" si="3"/>
        <v>36</v>
      </c>
      <c r="C38" s="346" t="s">
        <v>440</v>
      </c>
      <c r="D38" s="201"/>
      <c r="E38" s="201"/>
      <c r="F38" s="201"/>
      <c r="G38" s="201"/>
      <c r="H38" s="201"/>
      <c r="I38" s="201"/>
      <c r="J38" s="201"/>
      <c r="K38" s="201"/>
      <c r="L38" s="201"/>
      <c r="R38" s="4"/>
      <c r="S38" s="4"/>
      <c r="T38" s="4"/>
      <c r="U38" s="4"/>
      <c r="V38" s="4"/>
      <c r="W38" s="4"/>
      <c r="X38" s="4"/>
      <c r="Y38" s="4"/>
      <c r="Z38" s="4"/>
      <c r="AA38" s="4"/>
      <c r="AB38" s="333"/>
      <c r="AC38" s="333"/>
      <c r="AD38" s="333"/>
      <c r="AE38" s="333"/>
      <c r="AF38" s="333"/>
      <c r="AG38" s="4"/>
      <c r="AH38" s="4"/>
      <c r="AI38" s="4"/>
      <c r="AJ38" s="4"/>
    </row>
    <row r="39" spans="2:36">
      <c r="B39" s="201">
        <f t="shared" si="3"/>
        <v>37</v>
      </c>
      <c r="C39" s="346" t="s">
        <v>441</v>
      </c>
      <c r="D39" s="201"/>
      <c r="E39" s="201"/>
      <c r="F39" s="201"/>
      <c r="G39" s="201"/>
      <c r="H39" s="201"/>
      <c r="I39" s="201"/>
      <c r="J39" s="201"/>
      <c r="K39" s="201"/>
      <c r="L39" s="201"/>
      <c r="R39" s="4"/>
      <c r="S39" s="4"/>
      <c r="T39" s="4"/>
      <c r="U39" s="4"/>
      <c r="V39" s="4"/>
      <c r="W39" s="4"/>
      <c r="X39" s="4"/>
      <c r="Y39" s="4"/>
      <c r="Z39" s="4"/>
      <c r="AA39" s="4"/>
      <c r="AB39" s="333"/>
      <c r="AC39" s="333"/>
      <c r="AD39" s="333"/>
      <c r="AE39" s="333"/>
      <c r="AF39" s="333"/>
      <c r="AG39" s="4"/>
      <c r="AH39" s="4"/>
      <c r="AI39" s="4"/>
      <c r="AJ39" s="4"/>
    </row>
    <row r="40" spans="2:36">
      <c r="B40" s="201">
        <f t="shared" si="3"/>
        <v>38</v>
      </c>
      <c r="C40" s="346" t="s">
        <v>442</v>
      </c>
      <c r="D40" s="201"/>
      <c r="E40" s="201"/>
      <c r="F40" s="201"/>
      <c r="G40" s="201"/>
      <c r="H40" s="201"/>
      <c r="I40" s="201"/>
      <c r="J40" s="201"/>
      <c r="K40" s="201"/>
      <c r="L40" s="201"/>
      <c r="R40" s="4"/>
      <c r="S40" s="4"/>
      <c r="T40" s="4"/>
      <c r="U40" s="4"/>
      <c r="V40" s="4"/>
      <c r="W40" s="4"/>
      <c r="X40" s="4"/>
      <c r="Y40" s="4"/>
      <c r="Z40" s="4"/>
      <c r="AA40" s="4"/>
      <c r="AB40" s="333"/>
      <c r="AC40" s="333"/>
      <c r="AD40" s="333"/>
      <c r="AE40" s="333"/>
      <c r="AF40" s="333"/>
      <c r="AG40" s="4"/>
      <c r="AH40" s="4"/>
      <c r="AI40" s="4"/>
      <c r="AJ40" s="4"/>
    </row>
    <row r="41" spans="2:36">
      <c r="B41" s="201">
        <f t="shared" si="3"/>
        <v>39</v>
      </c>
      <c r="C41" s="346" t="s">
        <v>443</v>
      </c>
      <c r="D41" s="201"/>
      <c r="E41" s="201"/>
      <c r="F41" s="201"/>
      <c r="G41" s="201"/>
      <c r="H41" s="201"/>
      <c r="I41" s="201"/>
      <c r="J41" s="201"/>
      <c r="K41" s="201"/>
      <c r="L41" s="201"/>
      <c r="R41" s="4"/>
      <c r="S41" s="4"/>
      <c r="T41" s="4"/>
      <c r="U41" s="4"/>
      <c r="V41" s="4"/>
      <c r="W41" s="4"/>
      <c r="X41" s="4"/>
      <c r="Y41" s="4"/>
      <c r="Z41" s="4"/>
      <c r="AA41" s="4"/>
      <c r="AB41" s="333"/>
      <c r="AC41" s="333"/>
      <c r="AD41" s="333"/>
      <c r="AE41" s="333"/>
      <c r="AF41" s="333"/>
      <c r="AG41" s="4"/>
      <c r="AH41" s="4"/>
      <c r="AI41" s="4"/>
      <c r="AJ41" s="4"/>
    </row>
    <row r="42" spans="2:36">
      <c r="B42" s="201">
        <f t="shared" si="3"/>
        <v>40</v>
      </c>
      <c r="C42" s="346" t="s">
        <v>444</v>
      </c>
      <c r="D42" s="201"/>
      <c r="E42" s="201"/>
      <c r="F42" s="201"/>
      <c r="G42" s="201"/>
      <c r="H42" s="201"/>
      <c r="I42" s="201"/>
      <c r="J42" s="201"/>
      <c r="K42" s="201"/>
      <c r="L42" s="201"/>
      <c r="R42" s="4"/>
      <c r="S42" s="4"/>
      <c r="T42" s="4"/>
      <c r="U42" s="4"/>
      <c r="V42" s="4"/>
      <c r="W42" s="4"/>
      <c r="X42" s="4"/>
      <c r="Y42" s="4"/>
      <c r="Z42" s="4"/>
      <c r="AA42" s="4"/>
      <c r="AB42" s="333"/>
      <c r="AC42" s="333"/>
      <c r="AD42" s="333"/>
      <c r="AE42" s="333"/>
      <c r="AF42" s="333"/>
      <c r="AG42" s="4"/>
      <c r="AH42" s="4"/>
      <c r="AI42" s="4"/>
      <c r="AJ42" s="4"/>
    </row>
    <row r="43" spans="2:36">
      <c r="B43" s="201">
        <f t="shared" si="3"/>
        <v>41</v>
      </c>
      <c r="C43" s="346" t="s">
        <v>445</v>
      </c>
      <c r="D43" s="201"/>
      <c r="E43" s="201"/>
      <c r="F43" s="201"/>
      <c r="G43" s="201"/>
      <c r="H43" s="201"/>
      <c r="I43" s="201"/>
      <c r="J43" s="201"/>
      <c r="K43" s="201"/>
      <c r="L43" s="201"/>
    </row>
    <row r="44" spans="2:36">
      <c r="B44" s="201">
        <f t="shared" si="3"/>
        <v>42</v>
      </c>
      <c r="C44" s="346" t="s">
        <v>446</v>
      </c>
      <c r="D44" s="201"/>
      <c r="E44" s="201"/>
      <c r="F44" s="201"/>
      <c r="G44" s="201"/>
      <c r="H44" s="201"/>
      <c r="I44" s="201"/>
      <c r="J44" s="201"/>
      <c r="K44" s="201"/>
      <c r="L44" s="201"/>
    </row>
    <row r="45" spans="2:36">
      <c r="B45" s="201">
        <f t="shared" si="3"/>
        <v>43</v>
      </c>
      <c r="C45" s="346" t="s">
        <v>447</v>
      </c>
      <c r="D45" s="201"/>
      <c r="E45" s="201"/>
      <c r="F45" s="201"/>
      <c r="G45" s="201"/>
      <c r="H45" s="201"/>
      <c r="I45" s="201"/>
      <c r="J45" s="201"/>
      <c r="K45" s="201"/>
      <c r="L45" s="201"/>
    </row>
    <row r="46" spans="2:36">
      <c r="B46" s="201">
        <f t="shared" si="3"/>
        <v>44</v>
      </c>
      <c r="C46" s="346" t="s">
        <v>448</v>
      </c>
      <c r="D46" s="201"/>
      <c r="E46" s="201"/>
      <c r="F46" s="201"/>
      <c r="G46" s="201"/>
      <c r="H46" s="201"/>
      <c r="I46" s="201"/>
      <c r="J46" s="201"/>
      <c r="K46" s="201"/>
      <c r="L46" s="201"/>
    </row>
    <row r="47" spans="2:36">
      <c r="B47" s="201">
        <f t="shared" si="3"/>
        <v>45</v>
      </c>
      <c r="C47" s="346" t="s">
        <v>449</v>
      </c>
      <c r="D47" s="201"/>
      <c r="E47" s="201"/>
      <c r="F47" s="201"/>
      <c r="G47" s="201"/>
      <c r="H47" s="201"/>
      <c r="I47" s="201"/>
      <c r="J47" s="201"/>
      <c r="K47" s="201"/>
      <c r="L47" s="201"/>
    </row>
    <row r="48" spans="2:36">
      <c r="B48" s="201">
        <f t="shared" si="3"/>
        <v>46</v>
      </c>
      <c r="C48" s="346" t="s">
        <v>450</v>
      </c>
      <c r="D48" s="201"/>
      <c r="E48" s="201"/>
      <c r="F48" s="201"/>
      <c r="G48" s="201"/>
      <c r="H48" s="201"/>
      <c r="I48" s="201"/>
      <c r="J48" s="201"/>
      <c r="K48" s="201"/>
      <c r="L48" s="201"/>
    </row>
    <row r="49" spans="2:12">
      <c r="B49" s="201">
        <f t="shared" si="3"/>
        <v>47</v>
      </c>
      <c r="C49" s="346" t="s">
        <v>451</v>
      </c>
      <c r="D49" s="201"/>
      <c r="E49" s="201"/>
      <c r="F49" s="201"/>
      <c r="G49" s="201"/>
      <c r="H49" s="201"/>
      <c r="I49" s="201"/>
      <c r="J49" s="201"/>
      <c r="K49" s="201"/>
      <c r="L49" s="201"/>
    </row>
    <row r="50" spans="2:12">
      <c r="B50" s="201">
        <f t="shared" si="3"/>
        <v>48</v>
      </c>
      <c r="C50" s="346" t="s">
        <v>452</v>
      </c>
      <c r="D50" s="201"/>
      <c r="E50" s="201"/>
      <c r="F50" s="201"/>
      <c r="G50" s="201"/>
      <c r="H50" s="201"/>
      <c r="I50" s="201"/>
      <c r="J50" s="201"/>
      <c r="K50" s="201"/>
      <c r="L50" s="201"/>
    </row>
    <row r="51" spans="2:12">
      <c r="B51" s="201">
        <f t="shared" si="3"/>
        <v>49</v>
      </c>
      <c r="C51" s="346" t="s">
        <v>453</v>
      </c>
      <c r="D51" s="201"/>
      <c r="E51" s="201"/>
      <c r="F51" s="201"/>
      <c r="G51" s="201"/>
      <c r="H51" s="201"/>
      <c r="I51" s="201"/>
      <c r="J51" s="201"/>
      <c r="K51" s="201"/>
      <c r="L51" s="201"/>
    </row>
  </sheetData>
  <autoFilter ref="F2:J2">
    <sortState ref="F3:J51">
      <sortCondition descending="1" ref="G2"/>
    </sortState>
  </autoFilter>
  <mergeCells count="24">
    <mergeCell ref="AP5:AP6"/>
    <mergeCell ref="AQ5:AQ6"/>
    <mergeCell ref="AE5:AE6"/>
    <mergeCell ref="AG5:AG6"/>
    <mergeCell ref="AH5:AH6"/>
    <mergeCell ref="AI5:AI6"/>
    <mergeCell ref="AJ5:AJ6"/>
    <mergeCell ref="AK5:AO5"/>
    <mergeCell ref="V5:V6"/>
    <mergeCell ref="W5:AA5"/>
    <mergeCell ref="AB5:AB6"/>
    <mergeCell ref="AC5:AC6"/>
    <mergeCell ref="AD5:AD6"/>
    <mergeCell ref="L1:L2"/>
    <mergeCell ref="M1:P2"/>
    <mergeCell ref="S5:S6"/>
    <mergeCell ref="T5:T6"/>
    <mergeCell ref="U5:U6"/>
    <mergeCell ref="K1:K2"/>
    <mergeCell ref="B1:B2"/>
    <mergeCell ref="C1:C2"/>
    <mergeCell ref="D1:D2"/>
    <mergeCell ref="E1:E2"/>
    <mergeCell ref="F1:J1"/>
  </mergeCell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51"/>
  <sheetViews>
    <sheetView topLeftCell="E1" zoomScale="90" zoomScaleNormal="90" workbookViewId="0">
      <selection activeCell="P12" sqref="P12"/>
    </sheetView>
  </sheetViews>
  <sheetFormatPr defaultRowHeight="15"/>
  <cols>
    <col min="1" max="1" width="15.85546875" customWidth="1"/>
    <col min="3" max="3" width="44.28515625" bestFit="1" customWidth="1"/>
    <col min="4" max="4" width="17.140625" customWidth="1"/>
    <col min="5" max="5" width="22.28515625" customWidth="1"/>
    <col min="6" max="6" width="21.28515625" customWidth="1"/>
    <col min="7" max="7" width="10.85546875" customWidth="1"/>
    <col min="8" max="8" width="10.28515625" customWidth="1"/>
    <col min="9" max="9" width="13" customWidth="1"/>
    <col min="10" max="10" width="19" customWidth="1"/>
    <col min="11" max="11" width="14.28515625" customWidth="1"/>
    <col min="12" max="12" width="13.85546875" customWidth="1"/>
    <col min="13" max="13" width="8.140625" style="330" customWidth="1"/>
    <col min="14" max="14" width="9.140625" style="329"/>
    <col min="15" max="16" width="9.140625" style="201"/>
    <col min="17" max="17" width="9.140625" customWidth="1"/>
    <col min="18" max="18" width="24.28515625" customWidth="1"/>
    <col min="19" max="19" width="20.5703125" customWidth="1"/>
    <col min="20" max="20" width="9.140625" customWidth="1"/>
    <col min="25" max="25" width="13.85546875" customWidth="1"/>
  </cols>
  <sheetData>
    <row r="1" spans="1:43" ht="15" customHeight="1">
      <c r="B1" s="555" t="s">
        <v>536</v>
      </c>
      <c r="C1" s="564" t="s">
        <v>394</v>
      </c>
      <c r="D1" s="564" t="s">
        <v>395</v>
      </c>
      <c r="E1" s="563" t="s">
        <v>454</v>
      </c>
      <c r="F1" s="349" t="s">
        <v>456</v>
      </c>
      <c r="G1" s="350"/>
      <c r="H1" s="350"/>
      <c r="I1" s="350"/>
      <c r="J1" s="351"/>
      <c r="K1" s="563" t="s">
        <v>531</v>
      </c>
      <c r="L1" s="563" t="s">
        <v>532</v>
      </c>
      <c r="M1" s="573" t="s">
        <v>504</v>
      </c>
      <c r="N1" s="574"/>
      <c r="O1" s="574"/>
      <c r="P1" s="575"/>
    </row>
    <row r="2" spans="1:43" ht="30" customHeight="1">
      <c r="A2" s="336" t="s">
        <v>545</v>
      </c>
      <c r="B2" s="555"/>
      <c r="C2" s="564"/>
      <c r="D2" s="564"/>
      <c r="E2" s="564"/>
      <c r="F2" s="227" t="s">
        <v>457</v>
      </c>
      <c r="G2" s="227" t="s">
        <v>461</v>
      </c>
      <c r="H2" s="227" t="s">
        <v>484</v>
      </c>
      <c r="I2" s="227" t="s">
        <v>458</v>
      </c>
      <c r="J2" s="227" t="s">
        <v>131</v>
      </c>
      <c r="K2" s="564"/>
      <c r="L2" s="564"/>
      <c r="M2" s="576"/>
      <c r="N2" s="577"/>
      <c r="O2" s="577"/>
      <c r="P2" s="578"/>
      <c r="R2" s="325" t="s">
        <v>528</v>
      </c>
      <c r="S2" s="325" t="s">
        <v>527</v>
      </c>
      <c r="U2" s="216"/>
      <c r="V2" s="328"/>
      <c r="Y2" s="247" t="s">
        <v>174</v>
      </c>
      <c r="AA2" s="216"/>
    </row>
    <row r="3" spans="1:43" ht="15" customHeight="1">
      <c r="B3" s="201">
        <f>1</f>
        <v>1</v>
      </c>
      <c r="C3" s="300" t="s">
        <v>459</v>
      </c>
      <c r="D3" s="201"/>
      <c r="E3" s="201"/>
      <c r="F3" s="201" t="s">
        <v>535</v>
      </c>
      <c r="G3" s="201">
        <v>18</v>
      </c>
      <c r="H3" s="334">
        <v>2</v>
      </c>
      <c r="I3" s="201">
        <v>2</v>
      </c>
      <c r="J3" s="335">
        <f>125000*2</f>
        <v>250000</v>
      </c>
      <c r="K3" s="305">
        <f t="shared" ref="K3:K12" si="0">(30000+40000+250000+750000)/5</f>
        <v>214000</v>
      </c>
      <c r="L3" s="305">
        <f t="shared" ref="L3:L12" si="1">(150000+180000+6000+600000+36000)/5</f>
        <v>194400</v>
      </c>
      <c r="M3" s="330" t="str">
        <f t="shared" ref="M3:M12" si="2">IF($R$3=$Y$2,IF($V$3=H3,B3,""),IF($W$3=J3,B3,""))</f>
        <v/>
      </c>
      <c r="N3" s="329" t="str">
        <f t="shared" ref="N3:N12" si="3">IF($S$3&lt;=I3,B3,"")</f>
        <v/>
      </c>
      <c r="O3" s="201" t="str">
        <f t="shared" ref="O3:O12" si="4">IF(M3=N3,IF(N3&lt;&gt;"",B3,""),"")</f>
        <v/>
      </c>
      <c r="P3" s="201" t="str">
        <f>IFERROR(SMALL($O$3:$O$12,ROWS($O$3:O3)),"")</f>
        <v/>
      </c>
      <c r="R3" t="str">
        <f>Entry!E32</f>
        <v xml:space="preserve">Highest Rated </v>
      </c>
      <c r="S3" t="str">
        <f>Entry!E31</f>
        <v>Please enter</v>
      </c>
      <c r="U3" s="216" t="s">
        <v>538</v>
      </c>
      <c r="V3">
        <f>MAX(H3:H12)</f>
        <v>11</v>
      </c>
      <c r="W3">
        <f>MIN(J3:J12)</f>
        <v>93333.333333333328</v>
      </c>
      <c r="Y3" s="247" t="s">
        <v>477</v>
      </c>
      <c r="AA3" s="216" t="s">
        <v>544</v>
      </c>
      <c r="AB3">
        <f>MAX(Y8:Y17)</f>
        <v>0</v>
      </c>
      <c r="AC3">
        <f>MIN(AA8:AA17)</f>
        <v>0</v>
      </c>
    </row>
    <row r="4" spans="1:43" ht="15" customHeight="1">
      <c r="B4" s="201">
        <f t="shared" ref="B4:B51" si="5">B3+1</f>
        <v>2</v>
      </c>
      <c r="C4" s="300" t="s">
        <v>460</v>
      </c>
      <c r="D4" s="201"/>
      <c r="E4" s="201"/>
      <c r="F4" s="201" t="s">
        <v>535</v>
      </c>
      <c r="G4" s="201">
        <v>18</v>
      </c>
      <c r="H4" s="334">
        <v>9</v>
      </c>
      <c r="I4" s="201">
        <v>1</v>
      </c>
      <c r="J4" s="335">
        <f>(70000/3)*4</f>
        <v>93333.333333333328</v>
      </c>
      <c r="K4" s="305">
        <f t="shared" si="0"/>
        <v>214000</v>
      </c>
      <c r="L4" s="305">
        <f t="shared" si="1"/>
        <v>194400</v>
      </c>
      <c r="M4" s="330" t="str">
        <f t="shared" si="2"/>
        <v/>
      </c>
      <c r="N4" s="329" t="str">
        <f t="shared" si="3"/>
        <v/>
      </c>
      <c r="O4" s="201" t="str">
        <f t="shared" si="4"/>
        <v/>
      </c>
      <c r="P4" s="201" t="str">
        <f>IFERROR(SMALL($O$3:$O$12,ROWS($O$3:O4)),"")</f>
        <v/>
      </c>
    </row>
    <row r="5" spans="1:43" ht="15" customHeight="1">
      <c r="B5" s="201">
        <f t="shared" si="5"/>
        <v>3</v>
      </c>
      <c r="C5" s="300" t="s">
        <v>407</v>
      </c>
      <c r="D5" s="201"/>
      <c r="E5" s="201"/>
      <c r="F5" s="201" t="s">
        <v>535</v>
      </c>
      <c r="G5" s="201">
        <f t="shared" ref="G5:G12" si="6">G4-1</f>
        <v>17</v>
      </c>
      <c r="H5" s="334">
        <f>H4+0.5</f>
        <v>9.5</v>
      </c>
      <c r="I5" s="201">
        <v>2</v>
      </c>
      <c r="J5" s="335">
        <f>(70000/3)*4</f>
        <v>93333.333333333328</v>
      </c>
      <c r="K5" s="305">
        <f t="shared" si="0"/>
        <v>214000</v>
      </c>
      <c r="L5" s="305">
        <f t="shared" si="1"/>
        <v>194400</v>
      </c>
      <c r="M5" s="330" t="str">
        <f t="shared" si="2"/>
        <v/>
      </c>
      <c r="N5" s="329" t="str">
        <f t="shared" si="3"/>
        <v/>
      </c>
      <c r="O5" s="201" t="str">
        <f t="shared" si="4"/>
        <v/>
      </c>
      <c r="P5" s="201" t="str">
        <f>IFERROR(SMALL($O$3:$O$12,ROWS($O$3:O5)),"")</f>
        <v/>
      </c>
    </row>
    <row r="6" spans="1:43" ht="15" customHeight="1">
      <c r="B6" s="201">
        <f t="shared" si="5"/>
        <v>4</v>
      </c>
      <c r="C6" s="300" t="s">
        <v>408</v>
      </c>
      <c r="D6" s="201"/>
      <c r="E6" s="201"/>
      <c r="F6" s="201" t="s">
        <v>535</v>
      </c>
      <c r="G6" s="201">
        <f t="shared" si="6"/>
        <v>16</v>
      </c>
      <c r="H6" s="334">
        <f>H5+0.5</f>
        <v>10</v>
      </c>
      <c r="I6" s="201">
        <v>1</v>
      </c>
      <c r="J6" s="335">
        <f>125000*2</f>
        <v>250000</v>
      </c>
      <c r="K6" s="305">
        <f t="shared" si="0"/>
        <v>214000</v>
      </c>
      <c r="L6" s="305">
        <f t="shared" si="1"/>
        <v>194400</v>
      </c>
      <c r="M6" s="330" t="str">
        <f t="shared" si="2"/>
        <v/>
      </c>
      <c r="N6" s="329" t="str">
        <f t="shared" si="3"/>
        <v/>
      </c>
      <c r="O6" s="201" t="str">
        <f t="shared" si="4"/>
        <v/>
      </c>
      <c r="P6" s="201" t="str">
        <f>IFERROR(SMALL($O$3:$O$12,ROWS($O$3:O6)),"")</f>
        <v/>
      </c>
      <c r="R6" s="331" t="s">
        <v>540</v>
      </c>
      <c r="S6" s="555" t="s">
        <v>536</v>
      </c>
      <c r="T6" s="564" t="s">
        <v>394</v>
      </c>
      <c r="U6" s="564" t="s">
        <v>395</v>
      </c>
      <c r="V6" s="563" t="s">
        <v>454</v>
      </c>
      <c r="W6" s="349" t="s">
        <v>456</v>
      </c>
      <c r="X6" s="350"/>
      <c r="Y6" s="350"/>
      <c r="Z6" s="350"/>
      <c r="AA6" s="351"/>
      <c r="AB6" s="563" t="s">
        <v>531</v>
      </c>
      <c r="AC6" s="563" t="s">
        <v>532</v>
      </c>
      <c r="AD6" s="356"/>
      <c r="AE6" s="356"/>
      <c r="AG6" s="555" t="s">
        <v>536</v>
      </c>
      <c r="AH6" s="564" t="s">
        <v>394</v>
      </c>
      <c r="AI6" s="564" t="s">
        <v>395</v>
      </c>
      <c r="AJ6" s="563" t="s">
        <v>454</v>
      </c>
      <c r="AK6" s="349" t="s">
        <v>456</v>
      </c>
      <c r="AL6" s="350"/>
      <c r="AM6" s="350"/>
      <c r="AN6" s="350"/>
      <c r="AO6" s="351"/>
      <c r="AP6" s="563" t="s">
        <v>531</v>
      </c>
      <c r="AQ6" s="563" t="s">
        <v>532</v>
      </c>
    </row>
    <row r="7" spans="1:43" ht="30">
      <c r="B7" s="201">
        <f t="shared" si="5"/>
        <v>5</v>
      </c>
      <c r="C7" s="300" t="s">
        <v>409</v>
      </c>
      <c r="D7" s="201"/>
      <c r="E7" s="201"/>
      <c r="F7" s="201" t="s">
        <v>535</v>
      </c>
      <c r="G7" s="201">
        <f t="shared" si="6"/>
        <v>15</v>
      </c>
      <c r="H7" s="334">
        <f>H6+0.5</f>
        <v>10.5</v>
      </c>
      <c r="I7" s="201">
        <v>3</v>
      </c>
      <c r="J7" s="335">
        <f>125000*2</f>
        <v>250000</v>
      </c>
      <c r="K7" s="305">
        <f t="shared" si="0"/>
        <v>214000</v>
      </c>
      <c r="L7" s="305">
        <f t="shared" si="1"/>
        <v>194400</v>
      </c>
      <c r="M7" s="330" t="str">
        <f t="shared" si="2"/>
        <v/>
      </c>
      <c r="N7" s="329" t="str">
        <f t="shared" si="3"/>
        <v/>
      </c>
      <c r="O7" s="201" t="str">
        <f t="shared" si="4"/>
        <v/>
      </c>
      <c r="P7" s="201" t="str">
        <f>IFERROR(SMALL($O$3:$O$12,ROWS($O$3:O7)),"")</f>
        <v/>
      </c>
      <c r="S7" s="555"/>
      <c r="T7" s="564"/>
      <c r="U7" s="564"/>
      <c r="V7" s="564"/>
      <c r="W7" s="227" t="s">
        <v>457</v>
      </c>
      <c r="X7" s="227" t="s">
        <v>461</v>
      </c>
      <c r="Y7" s="227" t="s">
        <v>484</v>
      </c>
      <c r="Z7" s="227" t="s">
        <v>458</v>
      </c>
      <c r="AA7" s="227" t="s">
        <v>131</v>
      </c>
      <c r="AB7" s="564"/>
      <c r="AC7" s="564"/>
      <c r="AD7" s="357"/>
      <c r="AE7" s="357"/>
      <c r="AG7" s="555"/>
      <c r="AH7" s="564"/>
      <c r="AI7" s="564"/>
      <c r="AJ7" s="564"/>
      <c r="AK7" s="227" t="s">
        <v>457</v>
      </c>
      <c r="AL7" s="227" t="s">
        <v>461</v>
      </c>
      <c r="AM7" s="227" t="s">
        <v>484</v>
      </c>
      <c r="AN7" s="227" t="s">
        <v>458</v>
      </c>
      <c r="AO7" s="227" t="s">
        <v>131</v>
      </c>
      <c r="AP7" s="564"/>
      <c r="AQ7" s="564"/>
    </row>
    <row r="8" spans="1:43">
      <c r="B8" s="201">
        <f t="shared" si="5"/>
        <v>6</v>
      </c>
      <c r="C8" s="300" t="s">
        <v>410</v>
      </c>
      <c r="D8" s="201"/>
      <c r="E8" s="201"/>
      <c r="F8" s="201" t="s">
        <v>535</v>
      </c>
      <c r="G8" s="201">
        <f t="shared" si="6"/>
        <v>14</v>
      </c>
      <c r="H8" s="334">
        <f>H7+0.5</f>
        <v>11</v>
      </c>
      <c r="I8" s="201">
        <v>2</v>
      </c>
      <c r="J8" s="335">
        <f>(70000/3)*4</f>
        <v>93333.333333333328</v>
      </c>
      <c r="K8" s="305">
        <f t="shared" si="0"/>
        <v>214000</v>
      </c>
      <c r="L8" s="305">
        <f t="shared" si="1"/>
        <v>194400</v>
      </c>
      <c r="M8" s="330">
        <f t="shared" si="2"/>
        <v>6</v>
      </c>
      <c r="N8" s="329" t="str">
        <f t="shared" si="3"/>
        <v/>
      </c>
      <c r="O8" s="201" t="str">
        <f t="shared" si="4"/>
        <v/>
      </c>
      <c r="P8" s="201" t="str">
        <f>IFERROR(SMALL($O$3:$O$12,ROWS($O$3:O8)),"")</f>
        <v/>
      </c>
      <c r="S8" s="201" t="str">
        <f>IFERROR(INDEX($B$3:$L$12,$P3,COLUMNS($S$8:S8)),"")</f>
        <v/>
      </c>
      <c r="T8" s="201" t="str">
        <f>IFERROR(INDEX($B$3:$L$12,$P3,COLUMNS($S$8:T8)),"")</f>
        <v/>
      </c>
      <c r="U8" s="201" t="str">
        <f>IFERROR(INDEX($B$3:$L$12,$P3,COLUMNS($S$8:U8)),"")</f>
        <v/>
      </c>
      <c r="V8" s="201" t="str">
        <f>IFERROR(INDEX($B$3:$L$12,$P3,COLUMNS($S$8:V8)),"")</f>
        <v/>
      </c>
      <c r="W8" s="348" t="str">
        <f>IFERROR(INDEX($B$3:$L$12,$P3,COLUMNS($S$8:W8)),"")</f>
        <v/>
      </c>
      <c r="X8" s="348" t="str">
        <f>IFERROR(INDEX($B$3:$L$12,$P3,COLUMNS($S$8:X8)),"")</f>
        <v/>
      </c>
      <c r="Y8" s="348" t="str">
        <f>IFERROR(INDEX($B$3:$L$12,$P3,COLUMNS($S$8:Y8)),"")</f>
        <v/>
      </c>
      <c r="Z8" s="348" t="str">
        <f>IFERROR(INDEX($B$3:$L$12,$P3,COLUMNS($S$8:Z8)),"")</f>
        <v/>
      </c>
      <c r="AA8" s="348" t="str">
        <f>IFERROR(INDEX($B$3:$L$12,$P3,COLUMNS($S$8:AA8)),"")</f>
        <v/>
      </c>
      <c r="AB8" s="201" t="str">
        <f>IFERROR(INDEX($B$3:$L$12,$P3,COLUMNS($S$8:AB8)),"")</f>
        <v/>
      </c>
      <c r="AC8" s="201" t="str">
        <f>IFERROR(INDEX($B$3:$L$12,$P3,COLUMNS($S$8:AC8)),"")</f>
        <v/>
      </c>
      <c r="AD8" s="201" t="str">
        <f>IF($R$3=$Y$3,IF(Y8=$AB$3,S8,""),IF(AA8=$AC$3,S8,""))</f>
        <v/>
      </c>
      <c r="AE8" s="201" t="str">
        <f>IFERROR(SMALL($AD$8:$AD$17,ROWS($AD$8:AD8)),"")</f>
        <v/>
      </c>
      <c r="AG8" t="str">
        <f>INDEX($S$8:$AC$17,MATCH($AE$8,$S$8:$S$17,0),1)</f>
        <v/>
      </c>
      <c r="AH8" t="str">
        <f>INDEX($S$8:$AC$17,MATCH($AE$8,$S$8:$S$17,0),2)</f>
        <v/>
      </c>
      <c r="AI8" t="str">
        <f>INDEX($S$8:$AC$17,MATCH($AE$8,$S$8:$S$17,0),3)</f>
        <v/>
      </c>
      <c r="AJ8" t="str">
        <f>INDEX($S$8:$AC$17,MATCH($AE$8,$S$8:$S$17,0),4)</f>
        <v/>
      </c>
      <c r="AK8" t="str">
        <f>INDEX($S$8:$AC$17,MATCH($AE$8,$S$8:$S$17,0),5)</f>
        <v/>
      </c>
      <c r="AL8" t="str">
        <f>INDEX($S$8:$AC$17,MATCH($AE$8,$S$8:$S$17,0),6)</f>
        <v/>
      </c>
      <c r="AM8" t="str">
        <f>INDEX($S$8:$AC$17,MATCH($AE$8,$S$8:$S$17,0),7)</f>
        <v/>
      </c>
      <c r="AN8" t="str">
        <f>INDEX($S$8:$AC$17,MATCH($AE$8,$S$8:$S$17,0),8)</f>
        <v/>
      </c>
      <c r="AO8" t="str">
        <f>INDEX($S$8:$AC$17,MATCH($AE$8,$S$8:$S$17,0),9)</f>
        <v/>
      </c>
      <c r="AP8" t="str">
        <f>INDEX($S$8:$AC$17,MATCH($AE$8,$S$8:$S$17,0),10)</f>
        <v/>
      </c>
      <c r="AQ8" t="str">
        <f>INDEX($S$8:$AC$17,MATCH($AE$8,$S$8:$S$17,0),11)</f>
        <v/>
      </c>
    </row>
    <row r="9" spans="1:43">
      <c r="B9" s="201">
        <f t="shared" si="5"/>
        <v>7</v>
      </c>
      <c r="C9" s="300" t="s">
        <v>411</v>
      </c>
      <c r="D9" s="201"/>
      <c r="E9" s="201"/>
      <c r="F9" s="201" t="s">
        <v>535</v>
      </c>
      <c r="G9" s="201">
        <f t="shared" si="6"/>
        <v>13</v>
      </c>
      <c r="H9" s="334">
        <v>6.5</v>
      </c>
      <c r="I9" s="201">
        <v>3</v>
      </c>
      <c r="J9" s="335">
        <f>(70000/3)*4</f>
        <v>93333.333333333328</v>
      </c>
      <c r="K9" s="305">
        <f t="shared" si="0"/>
        <v>214000</v>
      </c>
      <c r="L9" s="305">
        <f t="shared" si="1"/>
        <v>194400</v>
      </c>
      <c r="M9" s="330" t="str">
        <f t="shared" si="2"/>
        <v/>
      </c>
      <c r="N9" s="329" t="str">
        <f t="shared" si="3"/>
        <v/>
      </c>
      <c r="O9" s="201" t="str">
        <f t="shared" si="4"/>
        <v/>
      </c>
      <c r="P9" s="201" t="str">
        <f>IFERROR(SMALL($O$3:$O$12,ROWS($O$3:O9)),"")</f>
        <v/>
      </c>
      <c r="S9" s="201" t="str">
        <f>IFERROR(INDEX($B$3:$L$12,$P4,COLUMNS($S$8:S9)),"")</f>
        <v/>
      </c>
      <c r="T9" s="201" t="str">
        <f>IFERROR(INDEX($B$3:$L$12,$P4,COLUMNS($S$8:T9)),"")</f>
        <v/>
      </c>
      <c r="U9" s="201" t="str">
        <f>IFERROR(INDEX($B$3:$L$12,$P4,COLUMNS($S$8:U9)),"")</f>
        <v/>
      </c>
      <c r="V9" s="201" t="str">
        <f>IFERROR(INDEX($B$3:$L$12,$P4,COLUMNS($S$8:V9)),"")</f>
        <v/>
      </c>
      <c r="W9" s="348" t="str">
        <f>IFERROR(INDEX($B$3:$L$12,$P4,COLUMNS($S$8:W9)),"")</f>
        <v/>
      </c>
      <c r="X9" s="348" t="str">
        <f>IFERROR(INDEX($B$3:$L$12,$P4,COLUMNS($S$8:X9)),"")</f>
        <v/>
      </c>
      <c r="Y9" s="348" t="str">
        <f>IFERROR(INDEX($B$3:$L$12,$P4,COLUMNS($S$8:Y9)),"")</f>
        <v/>
      </c>
      <c r="Z9" s="348" t="str">
        <f>IFERROR(INDEX($B$3:$L$12,$P4,COLUMNS($S$8:Z9)),"")</f>
        <v/>
      </c>
      <c r="AA9" s="348" t="str">
        <f>IFERROR(INDEX($B$3:$L$12,$P4,COLUMNS($S$8:AA9)),"")</f>
        <v/>
      </c>
      <c r="AB9" s="201" t="str">
        <f>IFERROR(INDEX($B$3:$L$12,$P4,COLUMNS($S$8:AB9)),"")</f>
        <v/>
      </c>
      <c r="AC9" s="201" t="str">
        <f>IFERROR(INDEX($B$3:$L$12,$P4,COLUMNS($S$8:AC9)),"")</f>
        <v/>
      </c>
      <c r="AD9" s="201" t="str">
        <f>IF($R$3=$Y$3,IF(Y9=$AB$3,S9,""),IF(AA9=$AC$3,S9,""))</f>
        <v/>
      </c>
      <c r="AE9" s="201" t="str">
        <f>IFERROR(SMALL($AD$8:$AD$17,ROWS($AD$8:AD9)),"")</f>
        <v/>
      </c>
    </row>
    <row r="10" spans="1:43">
      <c r="B10" s="201">
        <f t="shared" si="5"/>
        <v>8</v>
      </c>
      <c r="C10" s="300" t="s">
        <v>412</v>
      </c>
      <c r="D10" s="201"/>
      <c r="E10" s="201"/>
      <c r="F10" s="201" t="s">
        <v>535</v>
      </c>
      <c r="G10" s="201">
        <f t="shared" si="6"/>
        <v>12</v>
      </c>
      <c r="H10" s="334">
        <v>8</v>
      </c>
      <c r="I10" s="201">
        <v>3</v>
      </c>
      <c r="J10" s="335">
        <f>125000*2</f>
        <v>250000</v>
      </c>
      <c r="K10" s="305">
        <f t="shared" si="0"/>
        <v>214000</v>
      </c>
      <c r="L10" s="305">
        <f t="shared" si="1"/>
        <v>194400</v>
      </c>
      <c r="M10" s="330" t="str">
        <f t="shared" si="2"/>
        <v/>
      </c>
      <c r="N10" s="329" t="str">
        <f t="shared" si="3"/>
        <v/>
      </c>
      <c r="O10" s="201" t="str">
        <f t="shared" si="4"/>
        <v/>
      </c>
      <c r="P10" s="201" t="str">
        <f>IFERROR(SMALL($O$3:$O$12,ROWS($O$3:O10)),"")</f>
        <v/>
      </c>
      <c r="S10" s="201" t="str">
        <f>IFERROR(INDEX($B$3:$L$12,$P5,COLUMNS($S$8:S10)),"")</f>
        <v/>
      </c>
      <c r="T10" s="201" t="str">
        <f>IFERROR(INDEX($B$3:$L$12,$P5,COLUMNS($S$8:T10)),"")</f>
        <v/>
      </c>
      <c r="U10" s="201" t="str">
        <f>IFERROR(INDEX($B$3:$L$12,$P5,COLUMNS($S$8:U10)),"")</f>
        <v/>
      </c>
      <c r="V10" s="201" t="str">
        <f>IFERROR(INDEX($B$3:$L$12,$P5,COLUMNS($S$8:V10)),"")</f>
        <v/>
      </c>
      <c r="W10" s="348" t="str">
        <f>IFERROR(INDEX($B$3:$L$12,$P5,COLUMNS($S$8:W10)),"")</f>
        <v/>
      </c>
      <c r="X10" s="348" t="str">
        <f>IFERROR(INDEX($B$3:$L$12,$P5,COLUMNS($S$8:X10)),"")</f>
        <v/>
      </c>
      <c r="Y10" s="348" t="str">
        <f>IFERROR(INDEX($B$3:$L$12,$P5,COLUMNS($S$8:Y10)),"")</f>
        <v/>
      </c>
      <c r="Z10" s="348" t="str">
        <f>IFERROR(INDEX($B$3:$L$12,$P5,COLUMNS($S$8:Z10)),"")</f>
        <v/>
      </c>
      <c r="AA10" s="348" t="str">
        <f>IFERROR(INDEX($B$3:$L$12,$P5,COLUMNS($S$8:AA10)),"")</f>
        <v/>
      </c>
      <c r="AB10" s="201" t="str">
        <f>IFERROR(INDEX($B$3:$L$12,$P5,COLUMNS($S$8:AB10)),"")</f>
        <v/>
      </c>
      <c r="AC10" s="201" t="str">
        <f>IFERROR(INDEX($B$3:$L$12,$P5,COLUMNS($S$8:AC10)),"")</f>
        <v/>
      </c>
      <c r="AD10" s="201" t="str">
        <f t="shared" ref="AD10:AD17" si="7">IF($R$3=$Y$3,IF(Y10=$AB$3,S10,""),IF(AA10=$AC$3,S10,""))</f>
        <v/>
      </c>
      <c r="AE10" s="201" t="str">
        <f>IFERROR(SMALL($AD$8:$AD$17,ROWS($AD$8:AD10)),"")</f>
        <v/>
      </c>
    </row>
    <row r="11" spans="1:43">
      <c r="B11" s="201">
        <f t="shared" si="5"/>
        <v>9</v>
      </c>
      <c r="C11" s="300" t="s">
        <v>413</v>
      </c>
      <c r="D11" s="201"/>
      <c r="E11" s="201"/>
      <c r="F11" s="201" t="s">
        <v>535</v>
      </c>
      <c r="G11" s="201">
        <f t="shared" si="6"/>
        <v>11</v>
      </c>
      <c r="H11" s="334">
        <f>H10+0.5</f>
        <v>8.5</v>
      </c>
      <c r="I11" s="201">
        <v>1</v>
      </c>
      <c r="J11" s="335">
        <f>125000*2</f>
        <v>250000</v>
      </c>
      <c r="K11" s="305">
        <f t="shared" si="0"/>
        <v>214000</v>
      </c>
      <c r="L11" s="305">
        <f t="shared" si="1"/>
        <v>194400</v>
      </c>
      <c r="M11" s="330" t="str">
        <f t="shared" si="2"/>
        <v/>
      </c>
      <c r="N11" s="329" t="str">
        <f t="shared" si="3"/>
        <v/>
      </c>
      <c r="O11" s="201" t="str">
        <f t="shared" si="4"/>
        <v/>
      </c>
      <c r="P11" s="201" t="str">
        <f>IFERROR(SMALL($O$3:$O$12,ROWS($O$3:O11)),"")</f>
        <v/>
      </c>
      <c r="S11" s="201" t="str">
        <f>IFERROR(INDEX($B$3:$L$12,$P6,COLUMNS($S$8:S11)),"")</f>
        <v/>
      </c>
      <c r="T11" s="201" t="str">
        <f>IFERROR(INDEX($B$3:$L$12,$P6,COLUMNS($S$8:T11)),"")</f>
        <v/>
      </c>
      <c r="U11" s="201" t="str">
        <f>IFERROR(INDEX($B$3:$L$12,$P6,COLUMNS($S$8:U11)),"")</f>
        <v/>
      </c>
      <c r="V11" s="201" t="str">
        <f>IFERROR(INDEX($B$3:$L$12,$P6,COLUMNS($S$8:V11)),"")</f>
        <v/>
      </c>
      <c r="W11" s="348" t="str">
        <f>IFERROR(INDEX($B$3:$L$12,$P6,COLUMNS($S$8:W11)),"")</f>
        <v/>
      </c>
      <c r="X11" s="348" t="str">
        <f>IFERROR(INDEX($B$3:$L$12,$P6,COLUMNS($S$8:X11)),"")</f>
        <v/>
      </c>
      <c r="Y11" s="348" t="str">
        <f>IFERROR(INDEX($B$3:$L$12,$P6,COLUMNS($S$8:Y11)),"")</f>
        <v/>
      </c>
      <c r="Z11" s="348" t="str">
        <f>IFERROR(INDEX($B$3:$L$12,$P6,COLUMNS($S$8:Z11)),"")</f>
        <v/>
      </c>
      <c r="AA11" s="348" t="str">
        <f>IFERROR(INDEX($B$3:$L$12,$P6,COLUMNS($S$8:AA11)),"")</f>
        <v/>
      </c>
      <c r="AB11" s="201" t="str">
        <f>IFERROR(INDEX($B$3:$L$12,$P6,COLUMNS($S$8:AB11)),"")</f>
        <v/>
      </c>
      <c r="AC11" s="201" t="str">
        <f>IFERROR(INDEX($B$3:$L$12,$P6,COLUMNS($S$8:AC11)),"")</f>
        <v/>
      </c>
      <c r="AD11" s="201" t="str">
        <f t="shared" si="7"/>
        <v/>
      </c>
      <c r="AE11" s="201" t="str">
        <f>IFERROR(SMALL($AD$8:$AD$17,ROWS($AD$8:AD11)),"")</f>
        <v/>
      </c>
    </row>
    <row r="12" spans="1:43">
      <c r="B12" s="201">
        <f t="shared" si="5"/>
        <v>10</v>
      </c>
      <c r="C12" s="300" t="s">
        <v>414</v>
      </c>
      <c r="D12" s="201"/>
      <c r="E12" s="201"/>
      <c r="F12" s="201" t="s">
        <v>535</v>
      </c>
      <c r="G12" s="201">
        <f t="shared" si="6"/>
        <v>10</v>
      </c>
      <c r="H12" s="334">
        <v>9</v>
      </c>
      <c r="I12" s="201">
        <v>1</v>
      </c>
      <c r="J12" s="335">
        <f>(70000/3)*4</f>
        <v>93333.333333333328</v>
      </c>
      <c r="K12" s="305">
        <f t="shared" si="0"/>
        <v>214000</v>
      </c>
      <c r="L12" s="305">
        <f t="shared" si="1"/>
        <v>194400</v>
      </c>
      <c r="M12" s="330" t="str">
        <f t="shared" si="2"/>
        <v/>
      </c>
      <c r="N12" s="329" t="str">
        <f t="shared" si="3"/>
        <v/>
      </c>
      <c r="O12" s="201" t="str">
        <f t="shared" si="4"/>
        <v/>
      </c>
      <c r="P12" s="201" t="str">
        <f>IFERROR(SMALL($O$3:$O$12,ROWS($O$3:O12)),"")</f>
        <v/>
      </c>
      <c r="S12" s="201" t="str">
        <f>IFERROR(INDEX($B$3:$L$12,$P7,COLUMNS($S$8:S12)),"")</f>
        <v/>
      </c>
      <c r="T12" s="201" t="str">
        <f>IFERROR(INDEX($B$3:$L$12,$P7,COLUMNS($S$8:T12)),"")</f>
        <v/>
      </c>
      <c r="U12" s="201" t="str">
        <f>IFERROR(INDEX($B$3:$L$12,$P7,COLUMNS($S$8:U12)),"")</f>
        <v/>
      </c>
      <c r="V12" s="201" t="str">
        <f>IFERROR(INDEX($B$3:$L$12,$P7,COLUMNS($S$8:V12)),"")</f>
        <v/>
      </c>
      <c r="W12" s="348" t="str">
        <f>IFERROR(INDEX($B$3:$L$12,$P7,COLUMNS($S$8:W12)),"")</f>
        <v/>
      </c>
      <c r="X12" s="348" t="str">
        <f>IFERROR(INDEX($B$3:$L$12,$P7,COLUMNS($S$8:X12)),"")</f>
        <v/>
      </c>
      <c r="Y12" s="348" t="str">
        <f>IFERROR(INDEX($B$3:$L$12,$P7,COLUMNS($S$8:Y12)),"")</f>
        <v/>
      </c>
      <c r="Z12" s="348" t="str">
        <f>IFERROR(INDEX($B$3:$L$12,$P7,COLUMNS($S$8:Z12)),"")</f>
        <v/>
      </c>
      <c r="AA12" s="348" t="str">
        <f>IFERROR(INDEX($B$3:$L$12,$P7,COLUMNS($S$8:AA12)),"")</f>
        <v/>
      </c>
      <c r="AB12" s="201" t="str">
        <f>IFERROR(INDEX($B$3:$L$12,$P7,COLUMNS($S$8:AB12)),"")</f>
        <v/>
      </c>
      <c r="AC12" s="201" t="str">
        <f>IFERROR(INDEX($B$3:$L$12,$P7,COLUMNS($S$8:AC12)),"")</f>
        <v/>
      </c>
      <c r="AD12" s="201" t="str">
        <f t="shared" si="7"/>
        <v/>
      </c>
      <c r="AE12" s="201" t="str">
        <f>IFERROR(SMALL($AD$8:$AD$17,ROWS($AD$8:AD12)),"")</f>
        <v/>
      </c>
    </row>
    <row r="13" spans="1:43">
      <c r="B13" s="201">
        <f t="shared" si="5"/>
        <v>11</v>
      </c>
      <c r="C13" s="299" t="s">
        <v>415</v>
      </c>
      <c r="D13" s="201"/>
      <c r="E13" s="201"/>
      <c r="F13" s="201"/>
      <c r="G13" s="201"/>
      <c r="H13" s="201"/>
      <c r="I13" s="201"/>
      <c r="J13" s="201"/>
      <c r="K13" s="201"/>
      <c r="L13" s="201"/>
      <c r="S13" s="201" t="str">
        <f>IFERROR(INDEX($B$3:$L$12,$P8,COLUMNS($S$8:S13)),"")</f>
        <v/>
      </c>
      <c r="T13" s="201" t="str">
        <f>IFERROR(INDEX($B$3:$L$12,$P8,COLUMNS($S$8:T13)),"")</f>
        <v/>
      </c>
      <c r="U13" s="201" t="str">
        <f>IFERROR(INDEX($B$3:$L$12,$P8,COLUMNS($S$8:U13)),"")</f>
        <v/>
      </c>
      <c r="V13" s="201" t="str">
        <f>IFERROR(INDEX($B$3:$L$12,$P8,COLUMNS($S$8:V13)),"")</f>
        <v/>
      </c>
      <c r="W13" s="348" t="str">
        <f>IFERROR(INDEX($B$3:$L$12,$P8,COLUMNS($S$8:W13)),"")</f>
        <v/>
      </c>
      <c r="X13" s="348" t="str">
        <f>IFERROR(INDEX($B$3:$L$12,$P8,COLUMNS($S$8:X13)),"")</f>
        <v/>
      </c>
      <c r="Y13" s="348" t="str">
        <f>IFERROR(INDEX($B$3:$L$12,$P8,COLUMNS($S$8:Y13)),"")</f>
        <v/>
      </c>
      <c r="Z13" s="348" t="str">
        <f>IFERROR(INDEX($B$3:$L$12,$P8,COLUMNS($S$8:Z13)),"")</f>
        <v/>
      </c>
      <c r="AA13" s="348" t="str">
        <f>IFERROR(INDEX($B$3:$L$12,$P8,COLUMNS($S$8:AA13)),"")</f>
        <v/>
      </c>
      <c r="AB13" s="201" t="str">
        <f>IFERROR(INDEX($B$3:$L$12,$P8,COLUMNS($S$8:AB13)),"")</f>
        <v/>
      </c>
      <c r="AC13" s="201" t="str">
        <f>IFERROR(INDEX($B$3:$L$12,$P8,COLUMNS($S$8:AC13)),"")</f>
        <v/>
      </c>
      <c r="AD13" s="201" t="str">
        <f t="shared" si="7"/>
        <v/>
      </c>
      <c r="AE13" s="201" t="str">
        <f>IFERROR(SMALL($AD$8:$AD$17,ROWS($AD$8:AD13)),"")</f>
        <v/>
      </c>
    </row>
    <row r="14" spans="1:43">
      <c r="B14" s="201">
        <f t="shared" si="5"/>
        <v>12</v>
      </c>
      <c r="C14" s="299" t="s">
        <v>416</v>
      </c>
      <c r="D14" s="201"/>
      <c r="E14" s="201"/>
      <c r="F14" s="201"/>
      <c r="G14" s="201"/>
      <c r="H14" s="201"/>
      <c r="I14" s="201"/>
      <c r="J14" s="201"/>
      <c r="K14" s="201"/>
      <c r="L14" s="201"/>
      <c r="S14" s="201" t="str">
        <f>IFERROR(INDEX($B$3:$L$12,$P9,COLUMNS($S$8:S14)),"")</f>
        <v/>
      </c>
      <c r="T14" s="201" t="str">
        <f>IFERROR(INDEX($B$3:$L$12,$P9,COLUMNS($S$8:T14)),"")</f>
        <v/>
      </c>
      <c r="U14" s="201" t="str">
        <f>IFERROR(INDEX($B$3:$L$12,$P9,COLUMNS($S$8:U14)),"")</f>
        <v/>
      </c>
      <c r="V14" s="201" t="str">
        <f>IFERROR(INDEX($B$3:$L$12,$P9,COLUMNS($S$8:V14)),"")</f>
        <v/>
      </c>
      <c r="W14" s="348" t="str">
        <f>IFERROR(INDEX($B$3:$L$12,$P9,COLUMNS($S$8:W14)),"")</f>
        <v/>
      </c>
      <c r="X14" s="348" t="str">
        <f>IFERROR(INDEX($B$3:$L$12,$P9,COLUMNS($S$8:X14)),"")</f>
        <v/>
      </c>
      <c r="Y14" s="348" t="str">
        <f>IFERROR(INDEX($B$3:$L$12,$P9,COLUMNS($S$8:Y14)),"")</f>
        <v/>
      </c>
      <c r="Z14" s="348" t="str">
        <f>IFERROR(INDEX($B$3:$L$12,$P9,COLUMNS($S$8:Z14)),"")</f>
        <v/>
      </c>
      <c r="AA14" s="348" t="str">
        <f>IFERROR(INDEX($B$3:$L$12,$P9,COLUMNS($S$8:AA14)),"")</f>
        <v/>
      </c>
      <c r="AB14" s="201" t="str">
        <f>IFERROR(INDEX($B$3:$L$12,$P9,COLUMNS($S$8:AB14)),"")</f>
        <v/>
      </c>
      <c r="AC14" s="201" t="str">
        <f>IFERROR(INDEX($B$3:$L$12,$P9,COLUMNS($S$8:AC14)),"")</f>
        <v/>
      </c>
      <c r="AD14" s="201" t="str">
        <f t="shared" si="7"/>
        <v/>
      </c>
      <c r="AE14" s="201" t="str">
        <f>IFERROR(SMALL($AD$8:$AD$17,ROWS($AD$8:AD14)),"")</f>
        <v/>
      </c>
    </row>
    <row r="15" spans="1:43">
      <c r="B15" s="201">
        <f t="shared" si="5"/>
        <v>13</v>
      </c>
      <c r="C15" s="299" t="s">
        <v>417</v>
      </c>
      <c r="D15" s="201"/>
      <c r="E15" s="201"/>
      <c r="F15" s="201"/>
      <c r="G15" s="201"/>
      <c r="H15" s="201"/>
      <c r="I15" s="201"/>
      <c r="J15" s="201"/>
      <c r="K15" s="201"/>
      <c r="L15" s="201"/>
      <c r="S15" s="201" t="str">
        <f>IFERROR(INDEX($B$3:$L$12,$P10,COLUMNS($S$8:S15)),"")</f>
        <v/>
      </c>
      <c r="T15" s="201" t="str">
        <f>IFERROR(INDEX($B$3:$L$12,$P10,COLUMNS($S$8:T15)),"")</f>
        <v/>
      </c>
      <c r="U15" s="201" t="str">
        <f>IFERROR(INDEX($B$3:$L$12,$P10,COLUMNS($S$8:U15)),"")</f>
        <v/>
      </c>
      <c r="V15" s="201" t="str">
        <f>IFERROR(INDEX($B$3:$L$12,$P10,COLUMNS($S$8:V15)),"")</f>
        <v/>
      </c>
      <c r="W15" s="348" t="str">
        <f>IFERROR(INDEX($B$3:$L$12,$P10,COLUMNS($S$8:W15)),"")</f>
        <v/>
      </c>
      <c r="X15" s="348" t="str">
        <f>IFERROR(INDEX($B$3:$L$12,$P10,COLUMNS($S$8:X15)),"")</f>
        <v/>
      </c>
      <c r="Y15" s="348" t="str">
        <f>IFERROR(INDEX($B$3:$L$12,$P10,COLUMNS($S$8:Y15)),"")</f>
        <v/>
      </c>
      <c r="Z15" s="348" t="str">
        <f>IFERROR(INDEX($B$3:$L$12,$P10,COLUMNS($S$8:Z15)),"")</f>
        <v/>
      </c>
      <c r="AA15" s="348" t="str">
        <f>IFERROR(INDEX($B$3:$L$12,$P10,COLUMNS($S$8:AA15)),"")</f>
        <v/>
      </c>
      <c r="AB15" s="201" t="str">
        <f>IFERROR(INDEX($B$3:$L$12,$P10,COLUMNS($S$8:AB15)),"")</f>
        <v/>
      </c>
      <c r="AC15" s="201" t="str">
        <f>IFERROR(INDEX($B$3:$L$12,$P10,COLUMNS($S$8:AC15)),"")</f>
        <v/>
      </c>
      <c r="AD15" s="201" t="str">
        <f t="shared" si="7"/>
        <v/>
      </c>
      <c r="AE15" s="201" t="str">
        <f>IFERROR(SMALL($AD$8:$AD$17,ROWS($AD$8:AD15)),"")</f>
        <v/>
      </c>
    </row>
    <row r="16" spans="1:43">
      <c r="B16" s="201">
        <f t="shared" si="5"/>
        <v>14</v>
      </c>
      <c r="C16" s="299" t="s">
        <v>418</v>
      </c>
      <c r="D16" s="201"/>
      <c r="E16" s="201"/>
      <c r="F16" s="201"/>
      <c r="G16" s="201"/>
      <c r="H16" s="201"/>
      <c r="I16" s="201"/>
      <c r="J16" s="201"/>
      <c r="K16" s="201"/>
      <c r="L16" s="201"/>
      <c r="S16" s="201" t="str">
        <f>IFERROR(INDEX($B$3:$L$12,$P11,COLUMNS($S$8:S16)),"")</f>
        <v/>
      </c>
      <c r="T16" s="201" t="str">
        <f>IFERROR(INDEX($B$3:$L$12,$P11,COLUMNS($S$8:T16)),"")</f>
        <v/>
      </c>
      <c r="U16" s="201" t="str">
        <f>IFERROR(INDEX($B$3:$L$12,$P11,COLUMNS($S$8:U16)),"")</f>
        <v/>
      </c>
      <c r="V16" s="201" t="str">
        <f>IFERROR(INDEX($B$3:$L$12,$P11,COLUMNS($S$8:V16)),"")</f>
        <v/>
      </c>
      <c r="W16" s="348" t="str">
        <f>IFERROR(INDEX($B$3:$L$12,$P11,COLUMNS($S$8:W16)),"")</f>
        <v/>
      </c>
      <c r="X16" s="348" t="str">
        <f>IFERROR(INDEX($B$3:$L$12,$P11,COLUMNS($S$8:X16)),"")</f>
        <v/>
      </c>
      <c r="Y16" s="348" t="str">
        <f>IFERROR(INDEX($B$3:$L$12,$P11,COLUMNS($S$8:Y16)),"")</f>
        <v/>
      </c>
      <c r="Z16" s="348" t="str">
        <f>IFERROR(INDEX($B$3:$L$12,$P11,COLUMNS($S$8:Z16)),"")</f>
        <v/>
      </c>
      <c r="AA16" s="348" t="str">
        <f>IFERROR(INDEX($B$3:$L$12,$P11,COLUMNS($S$8:AA16)),"")</f>
        <v/>
      </c>
      <c r="AB16" s="201" t="str">
        <f>IFERROR(INDEX($B$3:$L$12,$P11,COLUMNS($S$8:AB16)),"")</f>
        <v/>
      </c>
      <c r="AC16" s="201" t="str">
        <f>IFERROR(INDEX($B$3:$L$12,$P11,COLUMNS($S$8:AC16)),"")</f>
        <v/>
      </c>
      <c r="AD16" s="201" t="str">
        <f t="shared" si="7"/>
        <v/>
      </c>
      <c r="AE16" s="201" t="str">
        <f>IFERROR(SMALL($AD$8:$AD$17,ROWS($AD$8:AD16)),"")</f>
        <v/>
      </c>
    </row>
    <row r="17" spans="2:36">
      <c r="B17" s="201">
        <f t="shared" si="5"/>
        <v>15</v>
      </c>
      <c r="C17" s="299" t="s">
        <v>419</v>
      </c>
      <c r="D17" s="201"/>
      <c r="E17" s="201"/>
      <c r="F17" s="201"/>
      <c r="G17" s="201"/>
      <c r="H17" s="201"/>
      <c r="I17" s="201"/>
      <c r="J17" s="201"/>
      <c r="K17" s="201"/>
      <c r="L17" s="201"/>
      <c r="S17" s="201" t="str">
        <f>IFERROR(INDEX($B$3:$L$12,$P12,COLUMNS($S$8:S17)),"")</f>
        <v/>
      </c>
      <c r="T17" s="201" t="str">
        <f>IFERROR(INDEX($B$3:$L$12,$P12,COLUMNS($S$8:T17)),"")</f>
        <v/>
      </c>
      <c r="U17" s="201" t="str">
        <f>IFERROR(INDEX($B$3:$L$12,$P12,COLUMNS($S$8:U17)),"")</f>
        <v/>
      </c>
      <c r="V17" s="201" t="str">
        <f>IFERROR(INDEX($B$3:$L$12,$P12,COLUMNS($S$8:V17)),"")</f>
        <v/>
      </c>
      <c r="W17" s="348" t="str">
        <f>IFERROR(INDEX($B$3:$L$12,$P12,COLUMNS($S$8:W17)),"")</f>
        <v/>
      </c>
      <c r="X17" s="348" t="str">
        <f>IFERROR(INDEX($B$3:$L$12,$P12,COLUMNS($S$8:X17)),"")</f>
        <v/>
      </c>
      <c r="Y17" s="348" t="str">
        <f>IFERROR(INDEX($B$3:$L$12,$P12,COLUMNS($S$8:Y17)),"")</f>
        <v/>
      </c>
      <c r="Z17" s="348" t="str">
        <f>IFERROR(INDEX($B$3:$L$12,$P12,COLUMNS($S$8:Z17)),"")</f>
        <v/>
      </c>
      <c r="AA17" s="348" t="str">
        <f>IFERROR(INDEX($B$3:$L$12,$P12,COLUMNS($S$8:AA17)),"")</f>
        <v/>
      </c>
      <c r="AB17" s="201" t="str">
        <f>IFERROR(INDEX($B$3:$L$12,$P12,COLUMNS($S$8:AB17)),"")</f>
        <v/>
      </c>
      <c r="AC17" s="201" t="str">
        <f>IFERROR(INDEX($B$3:$L$12,$P12,COLUMNS($S$8:AC17)),"")</f>
        <v/>
      </c>
      <c r="AD17" s="201" t="str">
        <f t="shared" si="7"/>
        <v/>
      </c>
      <c r="AE17" s="201" t="str">
        <f>IFERROR(SMALL($AD$8:$AD$17,ROWS($AD$8:AD17)),"")</f>
        <v/>
      </c>
    </row>
    <row r="18" spans="2:36" ht="15" customHeight="1">
      <c r="B18" s="201">
        <f t="shared" si="5"/>
        <v>16</v>
      </c>
      <c r="C18" s="299" t="s">
        <v>420</v>
      </c>
      <c r="D18" s="201"/>
      <c r="E18" s="201"/>
      <c r="F18" s="201"/>
      <c r="G18" s="201"/>
      <c r="H18" s="201"/>
      <c r="I18" s="201"/>
      <c r="J18" s="201"/>
      <c r="K18" s="201"/>
      <c r="L18" s="201"/>
      <c r="R18" s="4"/>
      <c r="S18" s="4"/>
      <c r="T18" s="4"/>
      <c r="U18" s="4"/>
      <c r="V18" s="4"/>
      <c r="W18" s="4"/>
      <c r="X18" s="4"/>
      <c r="Y18" s="4"/>
      <c r="Z18" s="4"/>
      <c r="AA18" s="4"/>
      <c r="AB18" s="333"/>
      <c r="AC18" s="333"/>
      <c r="AD18" s="4"/>
      <c r="AE18" s="4"/>
    </row>
    <row r="19" spans="2:36">
      <c r="B19" s="201">
        <f t="shared" si="5"/>
        <v>17</v>
      </c>
      <c r="C19" s="299" t="s">
        <v>421</v>
      </c>
      <c r="D19" s="201"/>
      <c r="E19" s="201"/>
      <c r="F19" s="201"/>
      <c r="G19" s="201"/>
      <c r="H19" s="201"/>
      <c r="I19" s="201"/>
      <c r="J19" s="201"/>
      <c r="K19" s="201"/>
      <c r="L19" s="201"/>
      <c r="R19" s="4"/>
      <c r="S19" s="4"/>
      <c r="T19" s="4"/>
      <c r="U19" s="4"/>
      <c r="V19" s="4"/>
      <c r="W19" s="4"/>
      <c r="X19" s="4"/>
      <c r="Y19" s="4"/>
      <c r="Z19" s="4"/>
      <c r="AA19" s="4"/>
      <c r="AB19" s="333"/>
      <c r="AC19" s="333"/>
      <c r="AD19" s="333"/>
      <c r="AE19" s="333"/>
      <c r="AF19" s="333"/>
      <c r="AG19" s="4"/>
      <c r="AH19" s="4"/>
      <c r="AI19" s="4"/>
      <c r="AJ19" s="4"/>
    </row>
    <row r="20" spans="2:36">
      <c r="B20" s="201">
        <f t="shared" si="5"/>
        <v>18</v>
      </c>
      <c r="C20" s="299" t="s">
        <v>422</v>
      </c>
      <c r="D20" s="201"/>
      <c r="E20" s="201"/>
      <c r="F20" s="201"/>
      <c r="G20" s="201"/>
      <c r="H20" s="201"/>
      <c r="I20" s="201"/>
      <c r="J20" s="201"/>
      <c r="K20" s="201"/>
      <c r="L20" s="201"/>
      <c r="R20" s="4"/>
      <c r="S20" s="4"/>
      <c r="T20" s="4"/>
      <c r="U20" s="4"/>
      <c r="V20" s="4"/>
      <c r="W20" s="4"/>
      <c r="X20" s="4"/>
      <c r="Y20" s="4"/>
      <c r="Z20" s="4"/>
      <c r="AA20" s="4"/>
      <c r="AB20" s="333"/>
      <c r="AC20" s="333"/>
      <c r="AD20" s="333"/>
      <c r="AE20" s="333"/>
      <c r="AF20" s="333"/>
      <c r="AG20" s="4"/>
      <c r="AH20" s="4"/>
      <c r="AI20" s="4"/>
      <c r="AJ20" s="4"/>
    </row>
    <row r="21" spans="2:36">
      <c r="B21" s="201">
        <f t="shared" si="5"/>
        <v>19</v>
      </c>
      <c r="C21" s="299" t="s">
        <v>423</v>
      </c>
      <c r="D21" s="201"/>
      <c r="E21" s="201"/>
      <c r="F21" s="201"/>
      <c r="G21" s="201"/>
      <c r="H21" s="201"/>
      <c r="I21" s="201"/>
      <c r="J21" s="201"/>
      <c r="K21" s="201"/>
      <c r="L21" s="201"/>
      <c r="R21" s="4"/>
      <c r="S21" s="4"/>
      <c r="T21" s="4"/>
      <c r="U21" s="4"/>
      <c r="V21" s="4"/>
      <c r="W21" s="4"/>
      <c r="X21" s="4"/>
      <c r="Y21" s="4"/>
      <c r="Z21" s="4"/>
      <c r="AA21" s="4"/>
      <c r="AB21" s="333"/>
      <c r="AC21" s="333"/>
      <c r="AD21" s="333"/>
      <c r="AE21" s="333"/>
      <c r="AF21" s="333"/>
      <c r="AG21" s="4"/>
      <c r="AH21" s="4"/>
      <c r="AI21" s="4"/>
      <c r="AJ21" s="4"/>
    </row>
    <row r="22" spans="2:36">
      <c r="B22" s="201">
        <f t="shared" si="5"/>
        <v>20</v>
      </c>
      <c r="C22" s="299" t="s">
        <v>424</v>
      </c>
      <c r="D22" s="201"/>
      <c r="E22" s="201"/>
      <c r="F22" s="201"/>
      <c r="G22" s="201"/>
      <c r="H22" s="201"/>
      <c r="I22" s="201"/>
      <c r="J22" s="201"/>
      <c r="K22" s="201"/>
      <c r="L22" s="201"/>
      <c r="R22" s="4"/>
      <c r="S22" s="4"/>
      <c r="T22" s="4"/>
      <c r="U22" s="4"/>
      <c r="V22" s="4"/>
      <c r="W22" s="4"/>
      <c r="X22" s="4"/>
      <c r="Y22" s="4"/>
      <c r="Z22" s="4"/>
      <c r="AA22" s="4"/>
      <c r="AB22" s="333"/>
      <c r="AC22" s="333"/>
      <c r="AD22" s="333"/>
      <c r="AE22" s="333"/>
      <c r="AF22" s="333"/>
      <c r="AG22" s="4"/>
      <c r="AH22" s="4"/>
      <c r="AI22" s="4"/>
      <c r="AJ22" s="4"/>
    </row>
    <row r="23" spans="2:36">
      <c r="B23" s="201">
        <f t="shared" si="5"/>
        <v>21</v>
      </c>
      <c r="C23" s="299" t="s">
        <v>425</v>
      </c>
      <c r="D23" s="201"/>
      <c r="E23" s="201"/>
      <c r="F23" s="201"/>
      <c r="G23" s="201"/>
      <c r="H23" s="201"/>
      <c r="I23" s="201"/>
      <c r="J23" s="201"/>
      <c r="K23" s="201"/>
      <c r="L23" s="201"/>
      <c r="R23" s="4"/>
      <c r="S23" s="4"/>
      <c r="T23" s="4"/>
      <c r="U23" s="4"/>
      <c r="V23" s="4"/>
      <c r="W23" s="4"/>
      <c r="X23" s="4"/>
      <c r="Y23" s="4"/>
      <c r="Z23" s="4"/>
      <c r="AA23" s="4"/>
      <c r="AB23" s="333"/>
      <c r="AC23" s="333"/>
      <c r="AD23" s="333"/>
      <c r="AE23" s="333"/>
      <c r="AF23" s="333"/>
      <c r="AG23" s="4"/>
      <c r="AH23" s="4"/>
      <c r="AI23" s="4"/>
      <c r="AJ23" s="4"/>
    </row>
    <row r="24" spans="2:36">
      <c r="B24" s="201">
        <f t="shared" si="5"/>
        <v>22</v>
      </c>
      <c r="C24" s="299" t="s">
        <v>426</v>
      </c>
      <c r="D24" s="201"/>
      <c r="E24" s="201"/>
      <c r="F24" s="201"/>
      <c r="G24" s="201"/>
      <c r="H24" s="201"/>
      <c r="I24" s="201"/>
      <c r="J24" s="201"/>
      <c r="K24" s="201"/>
      <c r="L24" s="201"/>
      <c r="R24" s="4"/>
      <c r="S24" s="4"/>
      <c r="T24" s="4"/>
      <c r="U24" s="4"/>
      <c r="V24" s="4"/>
      <c r="W24" s="4"/>
      <c r="X24" s="4"/>
      <c r="Y24" s="4"/>
      <c r="Z24" s="4"/>
      <c r="AA24" s="4"/>
      <c r="AB24" s="333"/>
      <c r="AC24" s="333"/>
      <c r="AD24" s="333"/>
      <c r="AE24" s="333"/>
      <c r="AF24" s="333"/>
      <c r="AG24" s="4"/>
      <c r="AH24" s="4"/>
      <c r="AI24" s="4"/>
      <c r="AJ24" s="4"/>
    </row>
    <row r="25" spans="2:36">
      <c r="B25" s="201">
        <f t="shared" si="5"/>
        <v>23</v>
      </c>
      <c r="C25" s="299" t="s">
        <v>427</v>
      </c>
      <c r="D25" s="201"/>
      <c r="E25" s="201"/>
      <c r="F25" s="201"/>
      <c r="G25" s="201"/>
      <c r="H25" s="201"/>
      <c r="I25" s="201"/>
      <c r="J25" s="201"/>
      <c r="K25" s="201"/>
      <c r="L25" s="201"/>
      <c r="R25" s="4"/>
      <c r="S25" s="4"/>
      <c r="T25" s="4"/>
      <c r="U25" s="4"/>
      <c r="V25" s="4"/>
      <c r="W25" s="4"/>
      <c r="X25" s="4"/>
      <c r="Y25" s="4"/>
      <c r="Z25" s="4"/>
      <c r="AA25" s="4"/>
      <c r="AB25" s="333"/>
      <c r="AC25" s="333"/>
      <c r="AD25" s="333"/>
      <c r="AE25" s="333"/>
      <c r="AF25" s="333"/>
      <c r="AG25" s="4"/>
      <c r="AH25" s="4"/>
      <c r="AI25" s="4"/>
      <c r="AJ25" s="4"/>
    </row>
    <row r="26" spans="2:36">
      <c r="B26" s="201">
        <f t="shared" si="5"/>
        <v>24</v>
      </c>
      <c r="C26" s="299" t="s">
        <v>428</v>
      </c>
      <c r="D26" s="201"/>
      <c r="E26" s="201"/>
      <c r="F26" s="201"/>
      <c r="G26" s="201"/>
      <c r="H26" s="201"/>
      <c r="I26" s="201"/>
      <c r="J26" s="201"/>
      <c r="K26" s="201"/>
      <c r="L26" s="201"/>
      <c r="R26" s="4"/>
      <c r="S26" s="4"/>
      <c r="T26" s="4"/>
      <c r="U26" s="4"/>
      <c r="V26" s="4"/>
      <c r="W26" s="4"/>
      <c r="X26" s="4"/>
      <c r="Y26" s="4"/>
      <c r="Z26" s="4"/>
      <c r="AA26" s="4"/>
      <c r="AB26" s="333"/>
      <c r="AC26" s="333"/>
      <c r="AD26" s="333"/>
      <c r="AE26" s="333"/>
      <c r="AF26" s="333"/>
      <c r="AG26" s="4"/>
      <c r="AH26" s="4"/>
      <c r="AI26" s="4"/>
      <c r="AJ26" s="4"/>
    </row>
    <row r="27" spans="2:36">
      <c r="B27" s="201">
        <f t="shared" si="5"/>
        <v>25</v>
      </c>
      <c r="C27" s="299" t="s">
        <v>429</v>
      </c>
      <c r="D27" s="201"/>
      <c r="E27" s="201"/>
      <c r="F27" s="201"/>
      <c r="G27" s="201"/>
      <c r="H27" s="201"/>
      <c r="I27" s="201"/>
      <c r="J27" s="201"/>
      <c r="K27" s="201"/>
      <c r="L27" s="201"/>
      <c r="R27" s="4"/>
      <c r="S27" s="4"/>
      <c r="T27" s="4"/>
      <c r="U27" s="4"/>
      <c r="V27" s="4"/>
      <c r="W27" s="4"/>
      <c r="X27" s="4"/>
      <c r="Y27" s="4"/>
      <c r="Z27" s="4"/>
      <c r="AA27" s="4"/>
      <c r="AB27" s="333"/>
      <c r="AC27" s="333"/>
      <c r="AD27" s="333"/>
      <c r="AE27" s="333"/>
      <c r="AF27" s="333"/>
      <c r="AG27" s="4"/>
      <c r="AH27" s="4"/>
      <c r="AI27" s="4"/>
      <c r="AJ27" s="4"/>
    </row>
    <row r="28" spans="2:36">
      <c r="B28" s="201">
        <f t="shared" si="5"/>
        <v>26</v>
      </c>
      <c r="C28" s="299" t="s">
        <v>430</v>
      </c>
      <c r="D28" s="201"/>
      <c r="E28" s="201"/>
      <c r="F28" s="201"/>
      <c r="G28" s="201"/>
      <c r="H28" s="201"/>
      <c r="I28" s="201"/>
      <c r="J28" s="201"/>
      <c r="K28" s="201"/>
      <c r="L28" s="201"/>
    </row>
    <row r="29" spans="2:36">
      <c r="B29" s="201">
        <f t="shared" si="5"/>
        <v>27</v>
      </c>
      <c r="C29" s="299" t="s">
        <v>431</v>
      </c>
      <c r="D29" s="201"/>
      <c r="E29" s="201"/>
      <c r="F29" s="201"/>
      <c r="G29" s="201"/>
      <c r="H29" s="201"/>
      <c r="I29" s="201"/>
      <c r="J29" s="201"/>
      <c r="K29" s="201"/>
      <c r="L29" s="201"/>
    </row>
    <row r="30" spans="2:36">
      <c r="B30" s="201">
        <f t="shared" si="5"/>
        <v>28</v>
      </c>
      <c r="C30" s="299" t="s">
        <v>432</v>
      </c>
      <c r="D30" s="201"/>
      <c r="E30" s="201"/>
      <c r="F30" s="201"/>
      <c r="G30" s="201"/>
      <c r="H30" s="201"/>
      <c r="I30" s="201"/>
      <c r="J30" s="201"/>
      <c r="K30" s="201"/>
      <c r="L30" s="201"/>
    </row>
    <row r="31" spans="2:36">
      <c r="B31" s="201">
        <f t="shared" si="5"/>
        <v>29</v>
      </c>
      <c r="C31" s="299" t="s">
        <v>433</v>
      </c>
      <c r="D31" s="201"/>
      <c r="E31" s="201"/>
      <c r="F31" s="201"/>
      <c r="G31" s="201"/>
      <c r="H31" s="201"/>
      <c r="I31" s="201"/>
      <c r="J31" s="201"/>
      <c r="K31" s="201"/>
      <c r="L31" s="201"/>
    </row>
    <row r="32" spans="2:36" ht="30">
      <c r="B32" s="201">
        <f t="shared" si="5"/>
        <v>30</v>
      </c>
      <c r="C32" s="229" t="s">
        <v>434</v>
      </c>
      <c r="D32" s="201"/>
      <c r="E32" s="201"/>
      <c r="F32" s="201"/>
      <c r="G32" s="201"/>
      <c r="H32" s="201"/>
      <c r="I32" s="201"/>
      <c r="J32" s="201"/>
      <c r="K32" s="201"/>
      <c r="L32" s="201"/>
    </row>
    <row r="33" spans="2:12" ht="45">
      <c r="B33" s="201">
        <f t="shared" si="5"/>
        <v>31</v>
      </c>
      <c r="C33" s="229" t="s">
        <v>435</v>
      </c>
      <c r="D33" s="201"/>
      <c r="E33" s="201"/>
      <c r="F33" s="201"/>
      <c r="G33" s="201"/>
      <c r="H33" s="201"/>
      <c r="I33" s="201"/>
      <c r="J33" s="201"/>
      <c r="K33" s="201"/>
      <c r="L33" s="201"/>
    </row>
    <row r="34" spans="2:12">
      <c r="B34" s="201">
        <f t="shared" si="5"/>
        <v>32</v>
      </c>
      <c r="C34" s="299" t="s">
        <v>436</v>
      </c>
      <c r="D34" s="201"/>
      <c r="E34" s="201"/>
      <c r="F34" s="201"/>
      <c r="G34" s="201"/>
      <c r="H34" s="201"/>
      <c r="I34" s="201"/>
      <c r="J34" s="201"/>
      <c r="K34" s="201"/>
      <c r="L34" s="201"/>
    </row>
    <row r="35" spans="2:12">
      <c r="B35" s="201">
        <f t="shared" si="5"/>
        <v>33</v>
      </c>
      <c r="C35" s="299" t="s">
        <v>437</v>
      </c>
      <c r="D35" s="201"/>
      <c r="E35" s="201"/>
      <c r="F35" s="201"/>
      <c r="G35" s="201"/>
      <c r="H35" s="201"/>
      <c r="I35" s="201"/>
      <c r="J35" s="201"/>
      <c r="K35" s="201"/>
      <c r="L35" s="201"/>
    </row>
    <row r="36" spans="2:12">
      <c r="B36" s="201">
        <f t="shared" si="5"/>
        <v>34</v>
      </c>
      <c r="C36" s="299" t="s">
        <v>438</v>
      </c>
      <c r="D36" s="201"/>
      <c r="E36" s="201"/>
      <c r="F36" s="201"/>
      <c r="G36" s="201"/>
      <c r="H36" s="201"/>
      <c r="I36" s="201"/>
      <c r="J36" s="201"/>
      <c r="K36" s="201"/>
      <c r="L36" s="201"/>
    </row>
    <row r="37" spans="2:12">
      <c r="B37" s="201">
        <f t="shared" si="5"/>
        <v>35</v>
      </c>
      <c r="C37" s="299" t="s">
        <v>439</v>
      </c>
      <c r="D37" s="201"/>
      <c r="E37" s="201"/>
      <c r="F37" s="201"/>
      <c r="G37" s="201"/>
      <c r="H37" s="201"/>
      <c r="I37" s="201"/>
      <c r="J37" s="201"/>
      <c r="K37" s="201"/>
      <c r="L37" s="201"/>
    </row>
    <row r="38" spans="2:12">
      <c r="B38" s="201">
        <f t="shared" si="5"/>
        <v>36</v>
      </c>
      <c r="C38" s="299" t="s">
        <v>440</v>
      </c>
      <c r="D38" s="201"/>
      <c r="E38" s="201"/>
      <c r="F38" s="201"/>
      <c r="G38" s="201"/>
      <c r="H38" s="201"/>
      <c r="I38" s="201"/>
      <c r="J38" s="201"/>
      <c r="K38" s="201"/>
      <c r="L38" s="201"/>
    </row>
    <row r="39" spans="2:12">
      <c r="B39" s="201">
        <f t="shared" si="5"/>
        <v>37</v>
      </c>
      <c r="C39" s="299" t="s">
        <v>441</v>
      </c>
      <c r="D39" s="201"/>
      <c r="E39" s="201"/>
      <c r="F39" s="201"/>
      <c r="G39" s="201"/>
      <c r="H39" s="201"/>
      <c r="I39" s="201"/>
      <c r="J39" s="201"/>
      <c r="K39" s="201"/>
      <c r="L39" s="201"/>
    </row>
    <row r="40" spans="2:12">
      <c r="B40" s="201">
        <f t="shared" si="5"/>
        <v>38</v>
      </c>
      <c r="C40" s="299" t="s">
        <v>442</v>
      </c>
      <c r="D40" s="201"/>
      <c r="E40" s="201"/>
      <c r="F40" s="201"/>
      <c r="G40" s="201"/>
      <c r="H40" s="201"/>
      <c r="I40" s="201"/>
      <c r="J40" s="201"/>
      <c r="K40" s="201"/>
      <c r="L40" s="201"/>
    </row>
    <row r="41" spans="2:12">
      <c r="B41" s="201">
        <f t="shared" si="5"/>
        <v>39</v>
      </c>
      <c r="C41" s="299" t="s">
        <v>443</v>
      </c>
      <c r="D41" s="201"/>
      <c r="E41" s="201"/>
      <c r="F41" s="201"/>
      <c r="G41" s="201"/>
      <c r="H41" s="201"/>
      <c r="I41" s="201"/>
      <c r="J41" s="201"/>
      <c r="K41" s="201"/>
      <c r="L41" s="201"/>
    </row>
    <row r="42" spans="2:12">
      <c r="B42" s="201">
        <f t="shared" si="5"/>
        <v>40</v>
      </c>
      <c r="C42" s="299" t="s">
        <v>444</v>
      </c>
      <c r="D42" s="201"/>
      <c r="E42" s="201"/>
      <c r="F42" s="201"/>
      <c r="G42" s="201"/>
      <c r="H42" s="201"/>
      <c r="I42" s="201"/>
      <c r="J42" s="201"/>
      <c r="K42" s="201"/>
      <c r="L42" s="201"/>
    </row>
    <row r="43" spans="2:12">
      <c r="B43" s="201">
        <f t="shared" si="5"/>
        <v>41</v>
      </c>
      <c r="C43" s="299" t="s">
        <v>445</v>
      </c>
      <c r="D43" s="201"/>
      <c r="E43" s="201"/>
      <c r="F43" s="201"/>
      <c r="G43" s="201"/>
      <c r="H43" s="201"/>
      <c r="I43" s="201"/>
      <c r="J43" s="201"/>
      <c r="K43" s="201"/>
      <c r="L43" s="201"/>
    </row>
    <row r="44" spans="2:12">
      <c r="B44" s="201">
        <f t="shared" si="5"/>
        <v>42</v>
      </c>
      <c r="C44" s="299" t="s">
        <v>446</v>
      </c>
      <c r="D44" s="201"/>
      <c r="E44" s="201"/>
      <c r="F44" s="201"/>
      <c r="G44" s="201"/>
      <c r="H44" s="201"/>
      <c r="I44" s="201"/>
      <c r="J44" s="201"/>
      <c r="K44" s="201"/>
      <c r="L44" s="201"/>
    </row>
    <row r="45" spans="2:12">
      <c r="B45" s="201">
        <f t="shared" si="5"/>
        <v>43</v>
      </c>
      <c r="C45" s="299" t="s">
        <v>447</v>
      </c>
      <c r="D45" s="201"/>
      <c r="E45" s="201"/>
      <c r="F45" s="201"/>
      <c r="G45" s="201"/>
      <c r="H45" s="201"/>
      <c r="I45" s="201"/>
      <c r="J45" s="201"/>
      <c r="K45" s="201"/>
      <c r="L45" s="201"/>
    </row>
    <row r="46" spans="2:12">
      <c r="B46" s="201">
        <f t="shared" si="5"/>
        <v>44</v>
      </c>
      <c r="C46" s="299" t="s">
        <v>448</v>
      </c>
      <c r="D46" s="201"/>
      <c r="E46" s="201"/>
      <c r="F46" s="201"/>
      <c r="G46" s="201"/>
      <c r="H46" s="201"/>
      <c r="I46" s="201"/>
      <c r="J46" s="201"/>
      <c r="K46" s="201"/>
      <c r="L46" s="201"/>
    </row>
    <row r="47" spans="2:12">
      <c r="B47" s="201">
        <f t="shared" si="5"/>
        <v>45</v>
      </c>
      <c r="C47" s="299" t="s">
        <v>449</v>
      </c>
      <c r="D47" s="201"/>
      <c r="E47" s="201"/>
      <c r="F47" s="201"/>
      <c r="G47" s="201"/>
      <c r="H47" s="201"/>
      <c r="I47" s="201"/>
      <c r="J47" s="201"/>
      <c r="K47" s="201"/>
      <c r="L47" s="201"/>
    </row>
    <row r="48" spans="2:12">
      <c r="B48" s="201">
        <f t="shared" si="5"/>
        <v>46</v>
      </c>
      <c r="C48" s="299" t="s">
        <v>450</v>
      </c>
      <c r="D48" s="201"/>
      <c r="E48" s="201"/>
      <c r="F48" s="201"/>
      <c r="G48" s="201"/>
      <c r="H48" s="201"/>
      <c r="I48" s="201"/>
      <c r="J48" s="201"/>
      <c r="K48" s="201"/>
      <c r="L48" s="201"/>
    </row>
    <row r="49" spans="2:12">
      <c r="B49" s="201">
        <f t="shared" si="5"/>
        <v>47</v>
      </c>
      <c r="C49" s="299" t="s">
        <v>451</v>
      </c>
      <c r="D49" s="201"/>
      <c r="E49" s="201"/>
      <c r="F49" s="201"/>
      <c r="G49" s="201"/>
      <c r="H49" s="201"/>
      <c r="I49" s="201"/>
      <c r="J49" s="201"/>
      <c r="K49" s="201"/>
      <c r="L49" s="201"/>
    </row>
    <row r="50" spans="2:12">
      <c r="B50" s="201">
        <f t="shared" si="5"/>
        <v>48</v>
      </c>
      <c r="C50" s="299" t="s">
        <v>452</v>
      </c>
      <c r="D50" s="201"/>
      <c r="E50" s="201"/>
      <c r="F50" s="201"/>
      <c r="G50" s="201"/>
      <c r="H50" s="201"/>
      <c r="I50" s="201"/>
      <c r="J50" s="201"/>
      <c r="K50" s="201"/>
      <c r="L50" s="201"/>
    </row>
    <row r="51" spans="2:12">
      <c r="B51" s="201">
        <f t="shared" si="5"/>
        <v>49</v>
      </c>
      <c r="C51" s="299" t="s">
        <v>453</v>
      </c>
      <c r="D51" s="201"/>
      <c r="E51" s="201"/>
      <c r="F51" s="201"/>
      <c r="G51" s="201"/>
      <c r="H51" s="201"/>
      <c r="I51" s="201"/>
      <c r="J51" s="201"/>
      <c r="K51" s="201"/>
      <c r="L51" s="201"/>
    </row>
  </sheetData>
  <autoFilter ref="F2:J2">
    <sortState ref="F3:J4">
      <sortCondition descending="1" ref="G2"/>
    </sortState>
  </autoFilter>
  <mergeCells count="19">
    <mergeCell ref="AB6:AB7"/>
    <mergeCell ref="AC6:AC7"/>
    <mergeCell ref="AQ6:AQ7"/>
    <mergeCell ref="S6:S7"/>
    <mergeCell ref="T6:T7"/>
    <mergeCell ref="U6:U7"/>
    <mergeCell ref="V6:V7"/>
    <mergeCell ref="AP6:AP7"/>
    <mergeCell ref="AG6:AG7"/>
    <mergeCell ref="AH6:AH7"/>
    <mergeCell ref="AI6:AI7"/>
    <mergeCell ref="AJ6:AJ7"/>
    <mergeCell ref="M1:P2"/>
    <mergeCell ref="L1:L2"/>
    <mergeCell ref="B1:B2"/>
    <mergeCell ref="C1:C2"/>
    <mergeCell ref="D1:D2"/>
    <mergeCell ref="E1:E2"/>
    <mergeCell ref="K1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Entry</vt:lpstr>
      <vt:lpstr>Dashboard</vt:lpstr>
      <vt:lpstr>EV Models </vt:lpstr>
      <vt:lpstr>Battery Swapping Vendors</vt:lpstr>
      <vt:lpstr>Battery Charging Vendors - AC</vt:lpstr>
      <vt:lpstr>Battery Charging Vendors - DC</vt:lpstr>
      <vt:lpstr>criteria</vt:lpstr>
      <vt:lpstr>model</vt:lpstr>
      <vt:lpstr>own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Samanta, Asmita</dc:creator>
  <cp:lastModifiedBy>Mahe</cp:lastModifiedBy>
  <dcterms:created xsi:type="dcterms:W3CDTF">2020-06-01T05:04:26Z</dcterms:created>
  <dcterms:modified xsi:type="dcterms:W3CDTF">2020-06-13T08:28:34Z</dcterms:modified>
</cp:coreProperties>
</file>